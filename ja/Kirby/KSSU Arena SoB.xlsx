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19b3\Documents\Games\Kirby\"/>
    </mc:Choice>
  </mc:AlternateContent>
  <xr:revisionPtr revIDLastSave="0" documentId="13_ncr:1_{EBBA0698-D4BB-4193-A3AC-94B1F11E255B}" xr6:coauthVersionLast="47" xr6:coauthVersionMax="47" xr10:uidLastSave="{00000000-0000-0000-0000-000000000000}"/>
  <bookViews>
    <workbookView xWindow="-108" yWindow="-108" windowWidth="23256" windowHeight="13176" xr2:uid="{FCD5FDC8-E0B1-4A83-BE03-51CBFA089195}"/>
  </bookViews>
  <sheets>
    <sheet name="通格(実機)" sheetId="1" r:id="rId1"/>
    <sheet name="通格(TAS)" sheetId="3" r:id="rId2"/>
    <sheet name="真格(実機)" sheetId="2" r:id="rId3"/>
    <sheet name="真格(TAS)" sheetId="4" r:id="rId4"/>
    <sheet name="通格(配信用)" sheetId="5" r:id="rId5"/>
    <sheet name="真格(配信用)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1" i="1" l="1"/>
  <c r="L31" i="1"/>
  <c r="F18" i="3"/>
  <c r="O18" i="3"/>
  <c r="P2" i="3"/>
  <c r="D13" i="3"/>
  <c r="E18" i="3"/>
  <c r="B18" i="3"/>
  <c r="N18" i="3"/>
  <c r="D7" i="6"/>
  <c r="F33" i="2"/>
  <c r="D33" i="2"/>
  <c r="F31" i="2"/>
  <c r="J31" i="2"/>
  <c r="J8" i="2" s="1"/>
  <c r="D8" i="6"/>
  <c r="D5" i="6"/>
  <c r="B5" i="6" s="1"/>
  <c r="I31" i="2"/>
  <c r="I8" i="2" s="1"/>
  <c r="R31" i="1"/>
  <c r="Q31" i="1"/>
  <c r="Q8" i="1" s="1"/>
  <c r="O31" i="1"/>
  <c r="O8" i="1" s="1"/>
  <c r="L8" i="1"/>
  <c r="K31" i="1"/>
  <c r="K8" i="1" s="1"/>
  <c r="J31" i="1"/>
  <c r="J8" i="1" s="1"/>
  <c r="I31" i="1"/>
  <c r="H31" i="1"/>
  <c r="H8" i="1" s="1"/>
  <c r="G31" i="1"/>
  <c r="G8" i="1" s="1"/>
  <c r="F31" i="1"/>
  <c r="E31" i="1"/>
  <c r="I1" i="5"/>
  <c r="D1" i="5" s="1"/>
  <c r="G4" i="5"/>
  <c r="B4" i="5" s="1"/>
  <c r="G6" i="5"/>
  <c r="B6" i="5" s="1"/>
  <c r="I4" i="5"/>
  <c r="D4" i="5" s="1"/>
  <c r="I7" i="5"/>
  <c r="I6" i="5"/>
  <c r="D6" i="5" s="1"/>
  <c r="G10" i="5"/>
  <c r="B10" i="5" s="1"/>
  <c r="G7" i="5"/>
  <c r="G5" i="5"/>
  <c r="G8" i="5"/>
  <c r="J28" i="1"/>
  <c r="B5" i="5"/>
  <c r="G9" i="5"/>
  <c r="N31" i="1"/>
  <c r="Q28" i="1"/>
  <c r="B29" i="1"/>
  <c r="I3" i="5"/>
  <c r="D3" i="5" s="1"/>
  <c r="Q37" i="1"/>
  <c r="Q14" i="1" s="1"/>
  <c r="C27" i="1"/>
  <c r="C4" i="1" s="1"/>
  <c r="L33" i="1"/>
  <c r="L32" i="1"/>
  <c r="B7" i="5"/>
  <c r="E8" i="1"/>
  <c r="D31" i="1"/>
  <c r="C31" i="1"/>
  <c r="B31" i="1"/>
  <c r="I33" i="1"/>
  <c r="O28" i="1"/>
  <c r="Q43" i="1"/>
  <c r="N43" i="1"/>
  <c r="C29" i="1"/>
  <c r="C6" i="1" s="1"/>
  <c r="D37" i="1"/>
  <c r="G1" i="5"/>
  <c r="G2" i="5"/>
  <c r="G3" i="5"/>
  <c r="B3" i="5" s="1"/>
  <c r="I8" i="1"/>
  <c r="D7" i="5"/>
  <c r="B8" i="6"/>
  <c r="M41" i="1"/>
  <c r="M18" i="1" s="1"/>
  <c r="R41" i="1"/>
  <c r="R18" i="1" s="1"/>
  <c r="D41" i="1"/>
  <c r="J41" i="1"/>
  <c r="S41" i="1"/>
  <c r="S18" i="1" s="1"/>
  <c r="N41" i="1"/>
  <c r="N18" i="1" s="1"/>
  <c r="I41" i="1"/>
  <c r="V41" i="1"/>
  <c r="V18" i="1" s="1"/>
  <c r="S31" i="1"/>
  <c r="I8" i="5"/>
  <c r="D8" i="5" s="1"/>
  <c r="S8" i="1"/>
  <c r="V33" i="1"/>
  <c r="V10" i="1" s="1"/>
  <c r="V31" i="1"/>
  <c r="V8" i="1" s="1"/>
  <c r="B28" i="2"/>
  <c r="B5" i="2" s="1"/>
  <c r="E28" i="2"/>
  <c r="E5" i="2"/>
  <c r="E40" i="2"/>
  <c r="D41" i="2"/>
  <c r="H41" i="2"/>
  <c r="F41" i="2"/>
  <c r="Q10" i="1"/>
  <c r="J10" i="1"/>
  <c r="L10" i="1"/>
  <c r="M10" i="1"/>
  <c r="D10" i="1"/>
  <c r="E10" i="1"/>
  <c r="F10" i="1"/>
  <c r="N8" i="1"/>
  <c r="T41" i="1"/>
  <c r="S33" i="1"/>
  <c r="S10" i="1" s="1"/>
  <c r="F8" i="2"/>
  <c r="D38" i="2"/>
  <c r="E38" i="2"/>
  <c r="E15" i="2" s="1"/>
  <c r="D6" i="6"/>
  <c r="B6" i="6" s="1"/>
  <c r="J33" i="1"/>
  <c r="E33" i="1"/>
  <c r="B33" i="1"/>
  <c r="Q33" i="1"/>
  <c r="D33" i="1"/>
  <c r="F33" i="1"/>
  <c r="B2" i="6"/>
  <c r="D10" i="6"/>
  <c r="B10" i="6" s="1"/>
  <c r="D9" i="6"/>
  <c r="B9" i="6" s="1"/>
  <c r="B7" i="6"/>
  <c r="G25" i="2"/>
  <c r="D4" i="6"/>
  <c r="B4" i="6" s="1"/>
  <c r="D3" i="6"/>
  <c r="B3" i="6" s="1"/>
  <c r="D2" i="6"/>
  <c r="D1" i="6"/>
  <c r="C37" i="1"/>
  <c r="B37" i="1"/>
  <c r="L37" i="1"/>
  <c r="S37" i="1"/>
  <c r="J37" i="1"/>
  <c r="I2" i="5"/>
  <c r="B2" i="5"/>
  <c r="M31" i="1"/>
  <c r="M8" i="1" s="1"/>
  <c r="D9" i="5"/>
  <c r="D5" i="5"/>
  <c r="D2" i="5"/>
  <c r="B9" i="5"/>
  <c r="B1" i="5"/>
  <c r="I9" i="5"/>
  <c r="I5" i="5"/>
  <c r="P25" i="1"/>
  <c r="P2" i="1"/>
  <c r="B8" i="1"/>
  <c r="F15" i="2"/>
  <c r="J13" i="2"/>
  <c r="J9" i="2"/>
  <c r="L8" i="2"/>
  <c r="Q20" i="1"/>
  <c r="T18" i="1"/>
  <c r="C18" i="1"/>
  <c r="D18" i="1"/>
  <c r="E18" i="1"/>
  <c r="F18" i="1"/>
  <c r="G18" i="1"/>
  <c r="H18" i="1"/>
  <c r="I18" i="1"/>
  <c r="K18" i="1"/>
  <c r="L18" i="1"/>
  <c r="O18" i="1"/>
  <c r="B18" i="1"/>
  <c r="N14" i="1"/>
  <c r="F14" i="1"/>
  <c r="B10" i="1"/>
  <c r="I10" i="1"/>
  <c r="O6" i="1"/>
  <c r="F7" i="1"/>
  <c r="R8" i="1"/>
  <c r="T8" i="1"/>
  <c r="C8" i="1"/>
  <c r="D8" i="1"/>
  <c r="F8" i="1"/>
  <c r="L41" i="2"/>
  <c r="L18" i="2" s="1"/>
  <c r="K41" i="2"/>
  <c r="K18" i="2" s="1"/>
  <c r="J41" i="2"/>
  <c r="J18" i="2" s="1"/>
  <c r="I41" i="2"/>
  <c r="M41" i="2" s="1"/>
  <c r="M18" i="2" s="1"/>
  <c r="E41" i="2"/>
  <c r="E18" i="2" s="1"/>
  <c r="C41" i="2"/>
  <c r="C18" i="2" s="1"/>
  <c r="B41" i="2"/>
  <c r="B18" i="2" s="1"/>
  <c r="L39" i="2"/>
  <c r="L16" i="2" s="1"/>
  <c r="K39" i="2"/>
  <c r="K16" i="2" s="1"/>
  <c r="J39" i="2"/>
  <c r="J16" i="2" s="1"/>
  <c r="I39" i="2"/>
  <c r="F39" i="2"/>
  <c r="F16" i="2" s="1"/>
  <c r="E39" i="2"/>
  <c r="E16" i="2" s="1"/>
  <c r="D39" i="2"/>
  <c r="D16" i="2" s="1"/>
  <c r="C39" i="2"/>
  <c r="C16" i="2" s="1"/>
  <c r="B39" i="2"/>
  <c r="B16" i="2" s="1"/>
  <c r="L38" i="2"/>
  <c r="L15" i="2" s="1"/>
  <c r="K38" i="2"/>
  <c r="K15" i="2" s="1"/>
  <c r="J38" i="2"/>
  <c r="J15" i="2" s="1"/>
  <c r="I38" i="2"/>
  <c r="F38" i="2"/>
  <c r="D15" i="2"/>
  <c r="C38" i="2"/>
  <c r="C15" i="2" s="1"/>
  <c r="B38" i="2"/>
  <c r="B15" i="2" s="1"/>
  <c r="F37" i="2"/>
  <c r="F14" i="2" s="1"/>
  <c r="D37" i="2"/>
  <c r="D14" i="2" s="1"/>
  <c r="C37" i="2"/>
  <c r="C14" i="2" s="1"/>
  <c r="B37" i="2"/>
  <c r="B14" i="2" s="1"/>
  <c r="L36" i="2"/>
  <c r="L13" i="2" s="1"/>
  <c r="K36" i="2"/>
  <c r="K13" i="2" s="1"/>
  <c r="J36" i="2"/>
  <c r="I36" i="2"/>
  <c r="I13" i="2" s="1"/>
  <c r="F36" i="2"/>
  <c r="F13" i="2" s="1"/>
  <c r="E36" i="2"/>
  <c r="E13" i="2" s="1"/>
  <c r="D36" i="2"/>
  <c r="D13" i="2" s="1"/>
  <c r="C36" i="2"/>
  <c r="C13" i="2" s="1"/>
  <c r="B36" i="2"/>
  <c r="B13" i="2" s="1"/>
  <c r="L32" i="2"/>
  <c r="L9" i="2" s="1"/>
  <c r="K32" i="2"/>
  <c r="K9" i="2" s="1"/>
  <c r="J32" i="2"/>
  <c r="I32" i="2"/>
  <c r="M32" i="2" s="1"/>
  <c r="M9" i="2" s="1"/>
  <c r="F32" i="2"/>
  <c r="F9" i="2" s="1"/>
  <c r="E32" i="2"/>
  <c r="E9" i="2" s="1"/>
  <c r="D32" i="2"/>
  <c r="D9" i="2" s="1"/>
  <c r="C32" i="2"/>
  <c r="C9" i="2" s="1"/>
  <c r="B32" i="2"/>
  <c r="B9" i="2" s="1"/>
  <c r="L31" i="2"/>
  <c r="K31" i="2"/>
  <c r="K8" i="2" s="1"/>
  <c r="E31" i="2"/>
  <c r="E8" i="2" s="1"/>
  <c r="D31" i="2"/>
  <c r="D8" i="2" s="1"/>
  <c r="C31" i="2"/>
  <c r="C8" i="2" s="1"/>
  <c r="B31" i="2"/>
  <c r="B8" i="2" s="1"/>
  <c r="L30" i="2"/>
  <c r="L7" i="2" s="1"/>
  <c r="K30" i="2"/>
  <c r="K7" i="2" s="1"/>
  <c r="J30" i="2"/>
  <c r="J7" i="2" s="1"/>
  <c r="I30" i="2"/>
  <c r="M30" i="2" s="1"/>
  <c r="M7" i="2" s="1"/>
  <c r="E30" i="2"/>
  <c r="E7" i="2" s="1"/>
  <c r="D30" i="2"/>
  <c r="D7" i="2" s="1"/>
  <c r="C30" i="2"/>
  <c r="C7" i="2" s="1"/>
  <c r="B30" i="2"/>
  <c r="B7" i="2" s="1"/>
  <c r="L28" i="2"/>
  <c r="M28" i="2" s="1"/>
  <c r="M5" i="2" s="1"/>
  <c r="K28" i="2"/>
  <c r="K5" i="2" s="1"/>
  <c r="J28" i="2"/>
  <c r="J5" i="2" s="1"/>
  <c r="I28" i="2"/>
  <c r="I5" i="2" s="1"/>
  <c r="F28" i="2"/>
  <c r="F5" i="2" s="1"/>
  <c r="D28" i="2"/>
  <c r="D5" i="2" s="1"/>
  <c r="C28" i="2"/>
  <c r="C5" i="2" s="1"/>
  <c r="L27" i="2"/>
  <c r="L4" i="2" s="1"/>
  <c r="K27" i="2"/>
  <c r="K4" i="2" s="1"/>
  <c r="J27" i="2"/>
  <c r="J4" i="2" s="1"/>
  <c r="I27" i="2"/>
  <c r="I4" i="2" s="1"/>
  <c r="F27" i="2"/>
  <c r="F4" i="2" s="1"/>
  <c r="E27" i="2"/>
  <c r="E4" i="2" s="1"/>
  <c r="D27" i="2"/>
  <c r="D4" i="2" s="1"/>
  <c r="C27" i="2"/>
  <c r="C4" i="2" s="1"/>
  <c r="B27" i="2"/>
  <c r="B4" i="2" s="1"/>
  <c r="O41" i="1"/>
  <c r="L41" i="1"/>
  <c r="K41" i="1"/>
  <c r="H41" i="1"/>
  <c r="G41" i="1"/>
  <c r="F41" i="1"/>
  <c r="E41" i="1"/>
  <c r="C41" i="1"/>
  <c r="B41" i="1"/>
  <c r="N37" i="1"/>
  <c r="F37" i="1"/>
  <c r="M33" i="1"/>
  <c r="F30" i="1"/>
  <c r="O29" i="1"/>
  <c r="L18" i="4"/>
  <c r="K11" i="4"/>
  <c r="J18" i="4"/>
  <c r="I11" i="4"/>
  <c r="E18" i="4"/>
  <c r="B18" i="4"/>
  <c r="D18" i="4"/>
  <c r="G2" i="4"/>
  <c r="C8" i="4"/>
  <c r="T11" i="3"/>
  <c r="J11" i="3"/>
  <c r="R18" i="3"/>
  <c r="D8" i="3"/>
  <c r="M11" i="3"/>
  <c r="C6" i="3"/>
  <c r="H11" i="3"/>
  <c r="Q20" i="3"/>
  <c r="G11" i="3"/>
  <c r="L17" i="3"/>
  <c r="U41" i="1" l="1"/>
  <c r="U18" i="1" s="1"/>
  <c r="J18" i="1"/>
  <c r="D18" i="2"/>
  <c r="D11" i="6"/>
  <c r="B11" i="6" s="1"/>
  <c r="B1" i="6"/>
  <c r="I9" i="2"/>
  <c r="I18" i="2"/>
  <c r="M38" i="2"/>
  <c r="M15" i="2" s="1"/>
  <c r="M39" i="2"/>
  <c r="M16" i="2" s="1"/>
  <c r="L5" i="2"/>
  <c r="I7" i="2"/>
  <c r="I15" i="2"/>
  <c r="M31" i="2"/>
  <c r="M8" i="2" s="1"/>
  <c r="M36" i="2"/>
  <c r="M13" i="2" s="1"/>
  <c r="I16" i="2"/>
  <c r="M27" i="2"/>
  <c r="M4" i="2" s="1"/>
  <c r="I10" i="5"/>
  <c r="D10" i="5" s="1"/>
  <c r="U31" i="1"/>
  <c r="U8" i="1" s="1"/>
  <c r="B8" i="5"/>
  <c r="G2" i="2"/>
  <c r="N28" i="2" s="1"/>
  <c r="N5" i="2" s="1"/>
  <c r="N39" i="2"/>
  <c r="N16" i="2" s="1"/>
  <c r="N31" i="2" l="1"/>
  <c r="N8" i="2" s="1"/>
  <c r="H38" i="2"/>
  <c r="H15" i="2" s="1"/>
  <c r="H28" i="2"/>
  <c r="H5" i="2" s="1"/>
  <c r="N41" i="2"/>
  <c r="N18" i="2" s="1"/>
  <c r="N32" i="2"/>
  <c r="N9" i="2" s="1"/>
  <c r="H31" i="2"/>
  <c r="H8" i="2" s="1"/>
  <c r="H32" i="2"/>
  <c r="H9" i="2" s="1"/>
  <c r="H27" i="2"/>
  <c r="H4" i="2" s="1"/>
  <c r="N36" i="2"/>
  <c r="N13" i="2" s="1"/>
  <c r="N27" i="2"/>
  <c r="N4" i="2" s="1"/>
  <c r="N38" i="2"/>
  <c r="N15" i="2" s="1"/>
  <c r="H36" i="2"/>
  <c r="H13" i="2" s="1"/>
  <c r="H39" i="2"/>
  <c r="H16" i="2" s="1"/>
</calcChain>
</file>

<file path=xl/sharedStrings.xml><?xml version="1.0" encoding="utf-8"?>
<sst xmlns="http://schemas.openxmlformats.org/spreadsheetml/2006/main" count="270" uniqueCount="61">
  <si>
    <t>ウィスピーウッズ</t>
    <phoneticPr fontId="1"/>
  </si>
  <si>
    <t>ツインウッズ</t>
    <phoneticPr fontId="1"/>
  </si>
  <si>
    <t>ロロロ&amp;ラララ</t>
    <phoneticPr fontId="1"/>
  </si>
  <si>
    <t>クラッコ</t>
    <phoneticPr fontId="1"/>
  </si>
  <si>
    <t>デデデ大王</t>
    <rPh sb="3" eb="5">
      <t>ダイオウ</t>
    </rPh>
    <phoneticPr fontId="1"/>
  </si>
  <si>
    <t>ダイナブレイド</t>
    <phoneticPr fontId="1"/>
  </si>
  <si>
    <t>バトルウィンドウズ</t>
    <phoneticPr fontId="1"/>
  </si>
  <si>
    <t>ガメレオアーム</t>
    <phoneticPr fontId="1"/>
  </si>
  <si>
    <t>魔人ワムバムロック</t>
    <rPh sb="0" eb="2">
      <t>マジン</t>
    </rPh>
    <phoneticPr fontId="1"/>
  </si>
  <si>
    <t>2連主砲</t>
    <rPh sb="1" eb="4">
      <t>レンシュホウ</t>
    </rPh>
    <phoneticPr fontId="1"/>
  </si>
  <si>
    <t>ヘビーロブスター</t>
    <phoneticPr fontId="1"/>
  </si>
  <si>
    <t>リアクター</t>
    <phoneticPr fontId="1"/>
  </si>
  <si>
    <t>メタナイト</t>
    <phoneticPr fontId="1"/>
  </si>
  <si>
    <t>ワドルディ</t>
    <phoneticPr fontId="1"/>
  </si>
  <si>
    <t>マルク</t>
    <phoneticPr fontId="1"/>
  </si>
  <si>
    <t>ギャラクティック・ノヴァ</t>
    <phoneticPr fontId="1"/>
  </si>
  <si>
    <t>カッター</t>
    <phoneticPr fontId="1"/>
  </si>
  <si>
    <t>ビーム</t>
    <phoneticPr fontId="1"/>
  </si>
  <si>
    <t>ヨーヨー</t>
    <phoneticPr fontId="1"/>
  </si>
  <si>
    <t>ウィング</t>
    <phoneticPr fontId="1"/>
  </si>
  <si>
    <t>ニンジャ</t>
    <phoneticPr fontId="1"/>
  </si>
  <si>
    <t>ファイター</t>
    <phoneticPr fontId="1"/>
  </si>
  <si>
    <t>ジェット</t>
    <phoneticPr fontId="1"/>
  </si>
  <si>
    <t>ソード</t>
    <phoneticPr fontId="1"/>
  </si>
  <si>
    <t>ファイア</t>
    <phoneticPr fontId="1"/>
  </si>
  <si>
    <t>ストーン</t>
    <phoneticPr fontId="1"/>
  </si>
  <si>
    <t>ボム</t>
    <phoneticPr fontId="1"/>
  </si>
  <si>
    <t>プラズマ</t>
    <phoneticPr fontId="1"/>
  </si>
  <si>
    <t>アイス</t>
    <phoneticPr fontId="1"/>
  </si>
  <si>
    <t>ホイール</t>
    <phoneticPr fontId="1"/>
  </si>
  <si>
    <t>ミラー</t>
    <phoneticPr fontId="1"/>
  </si>
  <si>
    <t>スープレックス</t>
    <phoneticPr fontId="1"/>
  </si>
  <si>
    <t>ハンマー</t>
    <phoneticPr fontId="1"/>
  </si>
  <si>
    <t>パラソル</t>
    <phoneticPr fontId="1"/>
  </si>
  <si>
    <t>すっぴん</t>
    <phoneticPr fontId="1"/>
  </si>
  <si>
    <t>中ボスオールスターズ 1(3)</t>
    <phoneticPr fontId="1"/>
  </si>
  <si>
    <t>中ボスオールスターズ 2(4)</t>
    <rPh sb="0" eb="1">
      <t>チュウ</t>
    </rPh>
    <phoneticPr fontId="1"/>
  </si>
  <si>
    <t>真・中ボスオールスターズ</t>
    <rPh sb="0" eb="1">
      <t>シン</t>
    </rPh>
    <phoneticPr fontId="1"/>
  </si>
  <si>
    <t>ロロロ&amp;ラララ リベンジ</t>
    <phoneticPr fontId="1"/>
  </si>
  <si>
    <t>クラッコ リベンジ</t>
    <phoneticPr fontId="1"/>
  </si>
  <si>
    <t>クラッコJr. リベンジ</t>
    <phoneticPr fontId="1"/>
  </si>
  <si>
    <t>ウィスピーウッズ リベンジ</t>
    <phoneticPr fontId="1"/>
  </si>
  <si>
    <t>飛行砲台カブーラー</t>
    <rPh sb="0" eb="4">
      <t>ヒコウホウダイ</t>
    </rPh>
    <phoneticPr fontId="1"/>
  </si>
  <si>
    <t>ワムバムジュエル</t>
    <phoneticPr fontId="1"/>
  </si>
  <si>
    <t>マルクソウル</t>
    <phoneticPr fontId="1"/>
  </si>
  <si>
    <t>マスクド デデデ</t>
    <phoneticPr fontId="1"/>
  </si>
  <si>
    <t>ギャラクティック ナイト</t>
    <phoneticPr fontId="1"/>
  </si>
  <si>
    <t>(I8?)</t>
    <phoneticPr fontId="1"/>
  </si>
  <si>
    <t xml:space="preserve"> </t>
    <phoneticPr fontId="1"/>
  </si>
  <si>
    <t>前半最速統計</t>
    <rPh sb="0" eb="2">
      <t>ゼンハン</t>
    </rPh>
    <rPh sb="2" eb="4">
      <t>サイソク</t>
    </rPh>
    <rPh sb="4" eb="6">
      <t>トウケイ</t>
    </rPh>
    <phoneticPr fontId="1"/>
  </si>
  <si>
    <t>後半最速統計</t>
    <rPh sb="0" eb="2">
      <t>コウハン</t>
    </rPh>
    <rPh sb="2" eb="4">
      <t>サイソク</t>
    </rPh>
    <rPh sb="4" eb="6">
      <t>トウケイ</t>
    </rPh>
    <phoneticPr fontId="1"/>
  </si>
  <si>
    <t>実機最速統計</t>
    <rPh sb="0" eb="6">
      <t>ジッキサイソクトウケイ</t>
    </rPh>
    <phoneticPr fontId="1"/>
  </si>
  <si>
    <t>実機最速統計</t>
    <phoneticPr fontId="1"/>
  </si>
  <si>
    <t>ファッティホエール</t>
    <phoneticPr fontId="1"/>
  </si>
  <si>
    <t>総合</t>
    <rPh sb="0" eb="2">
      <t>ソウゴウ</t>
    </rPh>
    <phoneticPr fontId="1"/>
  </si>
  <si>
    <t>実機最速統計</t>
    <rPh sb="0" eb="2">
      <t>ジッキ</t>
    </rPh>
    <rPh sb="2" eb="6">
      <t>サイソクトウケイ</t>
    </rPh>
    <phoneticPr fontId="1"/>
  </si>
  <si>
    <t>後半総合</t>
    <rPh sb="0" eb="2">
      <t>コウハン</t>
    </rPh>
    <rPh sb="2" eb="4">
      <t>ソウゴウ</t>
    </rPh>
    <phoneticPr fontId="1"/>
  </si>
  <si>
    <t>前半総合</t>
    <rPh sb="0" eb="2">
      <t>ゼンハン</t>
    </rPh>
    <rPh sb="2" eb="4">
      <t>ソウゴウ</t>
    </rPh>
    <phoneticPr fontId="1"/>
  </si>
  <si>
    <t>バトルウィンドウズ(JPN)</t>
    <phoneticPr fontId="1"/>
  </si>
  <si>
    <t>中ボスAll Stars 2(4)</t>
    <rPh sb="0" eb="1">
      <t>チュウ</t>
    </rPh>
    <phoneticPr fontId="1"/>
  </si>
  <si>
    <t>中ボスAll Stars 1(3)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</si>
</sst>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m:ss.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2" fontId="0" fillId="0" borderId="0" xfId="0" applyNumberFormat="1">
      <alignment vertical="center"/>
    </xf>
    <xf numFmtId="176" fontId="0" fillId="0" borderId="0" xfId="0" applyNumberFormat="1">
      <alignment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>
      <alignment vertical="center"/>
    </xf>
    <xf numFmtId="177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9885-A2A0-42E9-B354-58C7144C86F8}">
  <dimension ref="A1:V43"/>
  <sheetViews>
    <sheetView tabSelected="1" workbookViewId="0">
      <selection activeCell="T32" sqref="T32"/>
    </sheetView>
  </sheetViews>
  <sheetFormatPr defaultRowHeight="18" x14ac:dyDescent="0.45"/>
  <cols>
    <col min="2" max="2" width="8.796875" customWidth="1"/>
  </cols>
  <sheetData>
    <row r="1" spans="1:22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53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15</v>
      </c>
      <c r="Q1" t="s">
        <v>13</v>
      </c>
      <c r="R1" t="s">
        <v>36</v>
      </c>
      <c r="S1" t="s">
        <v>35</v>
      </c>
      <c r="T1" t="s">
        <v>14</v>
      </c>
      <c r="U1" t="s">
        <v>51</v>
      </c>
      <c r="V1" t="s">
        <v>58</v>
      </c>
    </row>
    <row r="2" spans="1:22" x14ac:dyDescent="0.45">
      <c r="A2" t="s">
        <v>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6">
        <f>ROUNDUP(P25,2)</f>
        <v>26.64</v>
      </c>
      <c r="Q2" s="1"/>
      <c r="R2" s="1"/>
      <c r="S2" s="1"/>
      <c r="T2" s="1"/>
      <c r="U2" s="4"/>
      <c r="V2" s="1"/>
    </row>
    <row r="3" spans="1:22" x14ac:dyDescent="0.45">
      <c r="A3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6"/>
      <c r="Q3" s="1"/>
      <c r="R3" s="1"/>
      <c r="S3" s="1"/>
      <c r="T3" s="1"/>
      <c r="U3" s="4"/>
      <c r="V3" s="1"/>
    </row>
    <row r="4" spans="1:22" x14ac:dyDescent="0.45">
      <c r="A4" t="s">
        <v>18</v>
      </c>
      <c r="B4" s="1"/>
      <c r="C4" s="1">
        <f>ROUNDUP(C27,2)</f>
        <v>7.6899999999999995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  <c r="U4" s="4"/>
      <c r="V4" s="1"/>
    </row>
    <row r="5" spans="1:22" x14ac:dyDescent="0.45">
      <c r="A5" t="s">
        <v>20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  <c r="U5" s="4"/>
      <c r="V5" s="1"/>
    </row>
    <row r="6" spans="1:22" x14ac:dyDescent="0.45">
      <c r="A6" t="s">
        <v>19</v>
      </c>
      <c r="B6" s="1"/>
      <c r="C6" s="1">
        <f>ROUNDUP(C29,2)</f>
        <v>6.12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>
        <f>ROUNDUP(O29,2)</f>
        <v>21.220000000000002</v>
      </c>
      <c r="P6" s="6"/>
      <c r="Q6" s="1"/>
      <c r="R6" s="1"/>
      <c r="S6" s="1"/>
      <c r="T6" s="1"/>
      <c r="U6" s="4"/>
      <c r="V6" s="1"/>
    </row>
    <row r="7" spans="1:22" x14ac:dyDescent="0.45">
      <c r="A7" t="s">
        <v>21</v>
      </c>
      <c r="B7" s="1"/>
      <c r="C7" s="1"/>
      <c r="D7" s="1"/>
      <c r="E7" s="1"/>
      <c r="F7" s="1">
        <f>ROUNDUP(F30,2)</f>
        <v>12.02</v>
      </c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  <c r="U7" s="4"/>
      <c r="V7" s="1"/>
    </row>
    <row r="8" spans="1:22" x14ac:dyDescent="0.45">
      <c r="A8" t="s">
        <v>22</v>
      </c>
      <c r="B8" s="1">
        <f>ROUNDUP(B31,2)</f>
        <v>9.75</v>
      </c>
      <c r="C8" s="1">
        <f t="shared" ref="C8:T10" si="0">ROUNDUP(C31,2)</f>
        <v>8.84</v>
      </c>
      <c r="D8" s="1">
        <f t="shared" si="0"/>
        <v>6.12</v>
      </c>
      <c r="E8" s="1">
        <f t="shared" si="0"/>
        <v>11.12</v>
      </c>
      <c r="F8" s="1">
        <f t="shared" si="0"/>
        <v>7.87</v>
      </c>
      <c r="G8" s="1">
        <f t="shared" si="0"/>
        <v>10.7</v>
      </c>
      <c r="H8" s="1">
        <f t="shared" si="0"/>
        <v>15.94</v>
      </c>
      <c r="I8" s="1">
        <f t="shared" si="0"/>
        <v>40.700000000000003</v>
      </c>
      <c r="J8" s="1">
        <f t="shared" si="0"/>
        <v>13.29</v>
      </c>
      <c r="K8" s="1">
        <f t="shared" si="0"/>
        <v>18.05</v>
      </c>
      <c r="L8" s="1">
        <f t="shared" si="0"/>
        <v>7.42</v>
      </c>
      <c r="M8" s="1">
        <f t="shared" si="0"/>
        <v>10.39</v>
      </c>
      <c r="N8" s="1">
        <f t="shared" si="0"/>
        <v>24.65</v>
      </c>
      <c r="O8" s="1">
        <f t="shared" si="0"/>
        <v>14.69</v>
      </c>
      <c r="P8" s="6"/>
      <c r="Q8" s="1">
        <f t="shared" si="0"/>
        <v>5.09</v>
      </c>
      <c r="R8" s="1">
        <f t="shared" si="0"/>
        <v>17.970000000000002</v>
      </c>
      <c r="S8" s="1">
        <f t="shared" si="0"/>
        <v>15.09</v>
      </c>
      <c r="T8" s="1">
        <f t="shared" si="0"/>
        <v>18.7</v>
      </c>
      <c r="U8" s="4">
        <f>ROUNDUP(U31,2)/86400</f>
        <v>3.2748842592592591E-3</v>
      </c>
      <c r="V8" s="1">
        <f t="shared" ref="V8" si="1">ROUNDUP(V31,2)</f>
        <v>45.64</v>
      </c>
    </row>
    <row r="9" spans="1:22" x14ac:dyDescent="0.45">
      <c r="A9" t="s">
        <v>23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6"/>
      <c r="Q9" s="1"/>
      <c r="R9" s="1"/>
      <c r="S9" s="1"/>
      <c r="T9" s="1"/>
      <c r="U9" s="4"/>
      <c r="V9" s="1"/>
    </row>
    <row r="10" spans="1:22" x14ac:dyDescent="0.45">
      <c r="A10" t="s">
        <v>24</v>
      </c>
      <c r="B10" s="1">
        <f>ROUNDUP(B33,2)</f>
        <v>11.19</v>
      </c>
      <c r="C10" s="1"/>
      <c r="D10" s="1">
        <f t="shared" ref="D10:F10" si="2">ROUNDUP(D33,2)</f>
        <v>13.99</v>
      </c>
      <c r="E10" s="1">
        <f t="shared" si="2"/>
        <v>10.050000000000001</v>
      </c>
      <c r="F10" s="1">
        <f t="shared" si="2"/>
        <v>9.84</v>
      </c>
      <c r="G10" s="1"/>
      <c r="H10" s="1"/>
      <c r="I10" s="1">
        <f>ROUNDUP(I33,2)</f>
        <v>33.989999999999995</v>
      </c>
      <c r="J10" s="1">
        <f t="shared" ref="J10:M10" si="3">ROUNDUP(J33,2)</f>
        <v>14.82</v>
      </c>
      <c r="K10" s="1"/>
      <c r="L10" s="1">
        <f t="shared" si="3"/>
        <v>9.0500000000000007</v>
      </c>
      <c r="M10" s="1">
        <f t="shared" si="3"/>
        <v>13.72</v>
      </c>
      <c r="N10" s="1"/>
      <c r="O10" s="1"/>
      <c r="P10" s="6"/>
      <c r="Q10" s="1">
        <f t="shared" si="0"/>
        <v>9.94</v>
      </c>
      <c r="R10" s="1"/>
      <c r="S10" s="1">
        <f t="shared" si="0"/>
        <v>19.440000000000001</v>
      </c>
      <c r="T10" s="1"/>
      <c r="U10" s="4"/>
      <c r="V10" s="1">
        <f>ROUNDUP(V33,2)</f>
        <v>42.14</v>
      </c>
    </row>
    <row r="11" spans="1:22" x14ac:dyDescent="0.45">
      <c r="A11" t="s">
        <v>25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6"/>
      <c r="Q11" s="1"/>
      <c r="R11" s="1"/>
      <c r="S11" s="1"/>
      <c r="T11" s="1"/>
      <c r="U11" s="4"/>
      <c r="V11" s="1"/>
    </row>
    <row r="12" spans="1:22" x14ac:dyDescent="0.45">
      <c r="A12" t="s">
        <v>26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  <c r="U12" s="4"/>
      <c r="V12" s="1"/>
    </row>
    <row r="13" spans="1:22" x14ac:dyDescent="0.45">
      <c r="A13" t="s">
        <v>27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  <c r="U13" s="4"/>
      <c r="V13" s="1"/>
    </row>
    <row r="14" spans="1:22" x14ac:dyDescent="0.45">
      <c r="A14" t="s">
        <v>28</v>
      </c>
      <c r="B14" s="1"/>
      <c r="C14" s="1"/>
      <c r="D14" s="1"/>
      <c r="E14" s="1"/>
      <c r="F14" s="1">
        <f>ROUNDUP(F37,2)</f>
        <v>12.24</v>
      </c>
      <c r="G14" s="1"/>
      <c r="H14" s="1"/>
      <c r="I14" s="1"/>
      <c r="J14" s="1"/>
      <c r="K14" s="1"/>
      <c r="L14" s="1"/>
      <c r="M14" s="1"/>
      <c r="N14" s="1">
        <f>ROUNDUP(N37,2)</f>
        <v>32.85</v>
      </c>
      <c r="O14" s="1"/>
      <c r="P14" s="6"/>
      <c r="Q14" s="1">
        <f t="shared" ref="Q14" si="4">ROUNDUP(Q37,2)</f>
        <v>7.5699999999999994</v>
      </c>
      <c r="R14" s="1"/>
      <c r="S14" s="1"/>
      <c r="T14" s="1"/>
      <c r="U14" s="4"/>
      <c r="V14" s="1"/>
    </row>
    <row r="15" spans="1:22" x14ac:dyDescent="0.45">
      <c r="A15" t="s">
        <v>29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  <c r="U15" s="4"/>
      <c r="V15" s="1"/>
    </row>
    <row r="16" spans="1:22" x14ac:dyDescent="0.45">
      <c r="A16" t="s">
        <v>30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6"/>
      <c r="Q16" s="1"/>
      <c r="R16" s="1"/>
      <c r="S16" s="1"/>
      <c r="T16" s="1"/>
      <c r="U16" s="4"/>
      <c r="V16" s="1"/>
    </row>
    <row r="17" spans="1:22" x14ac:dyDescent="0.45">
      <c r="A17" t="s">
        <v>31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6"/>
      <c r="Q17" s="1"/>
      <c r="R17" s="1"/>
      <c r="S17" s="1"/>
      <c r="T17" s="1"/>
      <c r="U17" s="4"/>
      <c r="V17" s="1"/>
    </row>
    <row r="18" spans="1:22" x14ac:dyDescent="0.45">
      <c r="A18" t="s">
        <v>32</v>
      </c>
      <c r="B18" s="1">
        <f t="shared" ref="B18:O18" si="5">ROUNDUP(B41,2)</f>
        <v>8.39</v>
      </c>
      <c r="C18" s="1">
        <f t="shared" si="5"/>
        <v>7.95</v>
      </c>
      <c r="D18" s="1">
        <f t="shared" si="5"/>
        <v>7.25</v>
      </c>
      <c r="E18" s="1">
        <f t="shared" si="5"/>
        <v>9.39</v>
      </c>
      <c r="F18" s="1">
        <f t="shared" si="5"/>
        <v>7.6899999999999995</v>
      </c>
      <c r="G18" s="1">
        <f t="shared" si="5"/>
        <v>11.35</v>
      </c>
      <c r="H18" s="1">
        <f t="shared" si="5"/>
        <v>15.05</v>
      </c>
      <c r="I18" s="1">
        <f t="shared" si="5"/>
        <v>30.3</v>
      </c>
      <c r="J18" s="1">
        <f t="shared" si="5"/>
        <v>11.85</v>
      </c>
      <c r="K18" s="1">
        <f t="shared" si="5"/>
        <v>14.45</v>
      </c>
      <c r="L18" s="1">
        <f t="shared" si="5"/>
        <v>7.0699999999999994</v>
      </c>
      <c r="M18" s="1">
        <f t="shared" si="5"/>
        <v>10.65</v>
      </c>
      <c r="N18" s="1">
        <f t="shared" si="5"/>
        <v>25.740000000000002</v>
      </c>
      <c r="O18" s="1">
        <f t="shared" si="5"/>
        <v>14.4</v>
      </c>
      <c r="P18" s="6"/>
      <c r="Q18" s="1"/>
      <c r="R18" s="1">
        <f t="shared" ref="R18:T18" si="6">ROUNDUP(R41,2)</f>
        <v>14.82</v>
      </c>
      <c r="S18" s="1">
        <f t="shared" si="6"/>
        <v>11.45</v>
      </c>
      <c r="T18" s="1">
        <f t="shared" si="6"/>
        <v>20.69</v>
      </c>
      <c r="U18" s="4">
        <f>ROUNDUP(U41,2)/86400</f>
        <v>2.9524305555555558E-3</v>
      </c>
      <c r="V18" s="1">
        <f t="shared" ref="V18" si="7">ROUNDUP(V41,2)</f>
        <v>30.3</v>
      </c>
    </row>
    <row r="19" spans="1:22" x14ac:dyDescent="0.45">
      <c r="A19" t="s">
        <v>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6"/>
      <c r="Q19" s="1"/>
      <c r="R19" s="1"/>
      <c r="S19" s="1"/>
      <c r="T19" s="1"/>
      <c r="U19" s="4"/>
      <c r="V19" s="1"/>
    </row>
    <row r="20" spans="1:22" x14ac:dyDescent="0.45">
      <c r="A20" t="s">
        <v>34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6"/>
      <c r="Q20" s="1">
        <f>ROUNDUP(Q43,2)</f>
        <v>2.9699999999999998</v>
      </c>
      <c r="R20" s="1"/>
      <c r="S20" s="1"/>
      <c r="T20" s="1"/>
      <c r="U20" s="4"/>
      <c r="V20" s="1"/>
    </row>
    <row r="22" spans="1:22" x14ac:dyDescent="0.45">
      <c r="U22" s="2"/>
    </row>
    <row r="24" spans="1:22" x14ac:dyDescent="0.45">
      <c r="B24" t="s">
        <v>0</v>
      </c>
      <c r="C24" t="s">
        <v>1</v>
      </c>
      <c r="D24" t="s">
        <v>2</v>
      </c>
      <c r="E24" t="s">
        <v>3</v>
      </c>
      <c r="F24" t="s">
        <v>4</v>
      </c>
      <c r="G24" t="s">
        <v>5</v>
      </c>
      <c r="H24" t="s">
        <v>53</v>
      </c>
      <c r="I24" t="s">
        <v>6</v>
      </c>
      <c r="J24" t="s">
        <v>7</v>
      </c>
      <c r="K24" t="s">
        <v>8</v>
      </c>
      <c r="L24" t="s">
        <v>9</v>
      </c>
      <c r="M24" t="s">
        <v>10</v>
      </c>
      <c r="N24" t="s">
        <v>11</v>
      </c>
      <c r="O24" t="s">
        <v>12</v>
      </c>
      <c r="P24" t="s">
        <v>15</v>
      </c>
      <c r="Q24" t="s">
        <v>13</v>
      </c>
      <c r="R24" t="s">
        <v>36</v>
      </c>
      <c r="S24" t="s">
        <v>35</v>
      </c>
      <c r="T24" t="s">
        <v>14</v>
      </c>
      <c r="U24" t="s">
        <v>51</v>
      </c>
      <c r="V24" t="s">
        <v>58</v>
      </c>
    </row>
    <row r="25" spans="1:22" x14ac:dyDescent="0.45">
      <c r="A25" t="s">
        <v>16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6">
        <f>26+38/60</f>
        <v>26.633333333333333</v>
      </c>
      <c r="Q25" s="1"/>
      <c r="R25" s="1"/>
      <c r="S25" s="1"/>
      <c r="T25" s="1"/>
      <c r="U25" s="2"/>
      <c r="V25" s="1"/>
    </row>
    <row r="26" spans="1:22" x14ac:dyDescent="0.45">
      <c r="A26" t="s">
        <v>17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6"/>
      <c r="Q26" s="1"/>
      <c r="R26" s="1"/>
      <c r="S26" s="1"/>
      <c r="T26" s="1"/>
      <c r="U26" s="2"/>
      <c r="V26" s="1"/>
    </row>
    <row r="27" spans="1:22" x14ac:dyDescent="0.45">
      <c r="A27" t="s">
        <v>18</v>
      </c>
      <c r="B27" s="1"/>
      <c r="C27" s="1">
        <f>7+41/60</f>
        <v>7.6833333333333336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6"/>
      <c r="Q27" s="1"/>
      <c r="R27" s="1"/>
      <c r="S27" s="1"/>
      <c r="T27" s="1"/>
      <c r="U27" s="2"/>
      <c r="V27" s="1"/>
    </row>
    <row r="28" spans="1:22" x14ac:dyDescent="0.45">
      <c r="A28" t="s">
        <v>20</v>
      </c>
      <c r="B28" s="1"/>
      <c r="C28" s="1"/>
      <c r="D28" s="1"/>
      <c r="E28" s="1"/>
      <c r="F28" s="1"/>
      <c r="G28" s="1"/>
      <c r="H28" s="1"/>
      <c r="I28" s="1"/>
      <c r="J28" s="1">
        <f>13+25/60</f>
        <v>13.416666666666666</v>
      </c>
      <c r="K28" s="1"/>
      <c r="L28" s="1"/>
      <c r="M28" s="1"/>
      <c r="N28" s="1"/>
      <c r="O28" s="1">
        <f>20+30/60</f>
        <v>20.5</v>
      </c>
      <c r="P28" s="6"/>
      <c r="Q28" s="1">
        <f>5+22/60</f>
        <v>5.3666666666666663</v>
      </c>
      <c r="R28" s="1"/>
      <c r="S28" s="1"/>
      <c r="T28" s="1"/>
      <c r="U28" s="2"/>
      <c r="V28" s="1"/>
    </row>
    <row r="29" spans="1:22" x14ac:dyDescent="0.45">
      <c r="A29" t="s">
        <v>19</v>
      </c>
      <c r="B29" s="1">
        <f>11+37/60</f>
        <v>11.616666666666667</v>
      </c>
      <c r="C29" s="1">
        <f>6+7/60</f>
        <v>6.1166666666666663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>
        <f>21+13/60</f>
        <v>21.216666666666665</v>
      </c>
      <c r="P29" s="6"/>
      <c r="Q29" s="1"/>
      <c r="R29" s="1"/>
      <c r="S29" s="1"/>
      <c r="T29" s="1"/>
      <c r="U29" s="2"/>
      <c r="V29" s="1"/>
    </row>
    <row r="30" spans="1:22" x14ac:dyDescent="0.45">
      <c r="A30" t="s">
        <v>21</v>
      </c>
      <c r="B30" s="1"/>
      <c r="C30" s="1"/>
      <c r="D30" s="1"/>
      <c r="E30" s="1"/>
      <c r="F30" s="1">
        <f>12+1/60</f>
        <v>12.016666666666667</v>
      </c>
      <c r="G30" s="1"/>
      <c r="H30" s="1"/>
      <c r="I30" s="1"/>
      <c r="J30" s="1"/>
      <c r="K30" s="1"/>
      <c r="L30" s="1"/>
      <c r="M30" s="1"/>
      <c r="N30" s="1"/>
      <c r="O30" s="1"/>
      <c r="P30" s="6"/>
      <c r="Q30" s="1"/>
      <c r="R30" s="1"/>
      <c r="S30" s="1"/>
      <c r="T30" s="1"/>
      <c r="U30" s="2"/>
      <c r="V30" s="1"/>
    </row>
    <row r="31" spans="1:22" x14ac:dyDescent="0.45">
      <c r="A31" t="s">
        <v>22</v>
      </c>
      <c r="B31" s="1">
        <f>9+45/60</f>
        <v>9.75</v>
      </c>
      <c r="C31" s="1">
        <f>8+50/60</f>
        <v>8.8333333333333339</v>
      </c>
      <c r="D31" s="1">
        <f>6+7/60</f>
        <v>6.1166666666666663</v>
      </c>
      <c r="E31" s="1">
        <f>11+7/60</f>
        <v>11.116666666666667</v>
      </c>
      <c r="F31" s="1">
        <f>7+52/60</f>
        <v>7.8666666666666671</v>
      </c>
      <c r="G31" s="1">
        <f>10+42/60</f>
        <v>10.7</v>
      </c>
      <c r="H31" s="1">
        <f>15+56/60</f>
        <v>15.933333333333334</v>
      </c>
      <c r="I31" s="1">
        <f>40+42/60</f>
        <v>40.700000000000003</v>
      </c>
      <c r="J31" s="1">
        <f>13+17/60</f>
        <v>13.283333333333333</v>
      </c>
      <c r="K31" s="1">
        <f>18+3/60</f>
        <v>18.05</v>
      </c>
      <c r="L31" s="1">
        <f>7+25/60</f>
        <v>7.416666666666667</v>
      </c>
      <c r="M31" s="1">
        <f>10+23/60</f>
        <v>10.383333333333333</v>
      </c>
      <c r="N31" s="1">
        <f>24+39/60</f>
        <v>24.65</v>
      </c>
      <c r="O31" s="1">
        <f>14+41/60</f>
        <v>14.683333333333334</v>
      </c>
      <c r="P31" s="6"/>
      <c r="Q31" s="1">
        <f>5+5/60</f>
        <v>5.083333333333333</v>
      </c>
      <c r="R31" s="1">
        <f>17+58/60</f>
        <v>17.966666666666665</v>
      </c>
      <c r="S31" s="1">
        <f>15+5/60</f>
        <v>15.083333333333334</v>
      </c>
      <c r="T31" s="1">
        <f>18+42/60</f>
        <v>18.7</v>
      </c>
      <c r="U31" s="2">
        <f>SUM(B31:O31,$P$25,Q31:T31)</f>
        <v>282.95</v>
      </c>
      <c r="V31" s="1">
        <f>45+38/60</f>
        <v>45.633333333333333</v>
      </c>
    </row>
    <row r="32" spans="1:22" x14ac:dyDescent="0.45">
      <c r="A32" t="s">
        <v>23</v>
      </c>
      <c r="L32" s="1">
        <f>9+43/60</f>
        <v>9.7166666666666668</v>
      </c>
      <c r="P32" s="6"/>
      <c r="U32" s="2"/>
    </row>
    <row r="33" spans="1:22" x14ac:dyDescent="0.45">
      <c r="A33" t="s">
        <v>24</v>
      </c>
      <c r="B33" s="1">
        <f>11+11/60</f>
        <v>11.183333333333334</v>
      </c>
      <c r="C33" s="1"/>
      <c r="D33" s="1">
        <f>13+59/60</f>
        <v>13.983333333333333</v>
      </c>
      <c r="E33" s="1">
        <f>10+3/60</f>
        <v>10.050000000000001</v>
      </c>
      <c r="F33" s="1">
        <f>9+50/60</f>
        <v>9.8333333333333339</v>
      </c>
      <c r="G33" s="1"/>
      <c r="H33" s="1"/>
      <c r="I33" s="1">
        <f>33+59/60</f>
        <v>33.983333333333334</v>
      </c>
      <c r="J33" s="1">
        <f>14+49/60</f>
        <v>14.816666666666666</v>
      </c>
      <c r="K33" s="1"/>
      <c r="L33" s="1">
        <f>9+3/60</f>
        <v>9.0500000000000007</v>
      </c>
      <c r="M33" s="1">
        <f>13+43/60</f>
        <v>13.716666666666667</v>
      </c>
      <c r="N33" s="1"/>
      <c r="O33" s="1"/>
      <c r="P33" s="6"/>
      <c r="Q33" s="1">
        <f>9+56/60</f>
        <v>9.9333333333333336</v>
      </c>
      <c r="R33" s="1"/>
      <c r="S33" s="1">
        <f>19+26/60</f>
        <v>19.433333333333334</v>
      </c>
      <c r="T33" s="1"/>
      <c r="U33" s="2"/>
      <c r="V33" s="1">
        <f>42+8/60</f>
        <v>42.133333333333333</v>
      </c>
    </row>
    <row r="34" spans="1:22" x14ac:dyDescent="0.45">
      <c r="A34" t="s">
        <v>25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6"/>
      <c r="Q34" s="1"/>
      <c r="R34" s="1"/>
      <c r="S34" s="1"/>
      <c r="T34" s="1"/>
      <c r="U34" s="2"/>
      <c r="V34" s="1"/>
    </row>
    <row r="35" spans="1:22" x14ac:dyDescent="0.45">
      <c r="A35" t="s">
        <v>26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6"/>
      <c r="Q35" s="1"/>
      <c r="R35" s="1"/>
      <c r="S35" s="1"/>
      <c r="T35" s="1"/>
      <c r="U35" s="2"/>
      <c r="V35" s="1"/>
    </row>
    <row r="36" spans="1:22" x14ac:dyDescent="0.45">
      <c r="A36" t="s">
        <v>27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6"/>
      <c r="Q36" s="1"/>
      <c r="R36" s="1"/>
      <c r="S36" s="1"/>
      <c r="T36" s="1"/>
      <c r="U36" s="2"/>
      <c r="V36" s="1"/>
    </row>
    <row r="37" spans="1:22" x14ac:dyDescent="0.45">
      <c r="A37" t="s">
        <v>28</v>
      </c>
      <c r="B37" s="1">
        <f>12+59/60</f>
        <v>12.983333333333333</v>
      </c>
      <c r="C37" s="1">
        <f>12+32/60</f>
        <v>12.533333333333333</v>
      </c>
      <c r="D37" s="1">
        <f>11+58/60</f>
        <v>11.966666666666667</v>
      </c>
      <c r="E37" s="1"/>
      <c r="F37" s="1">
        <f>12+14/60</f>
        <v>12.233333333333333</v>
      </c>
      <c r="G37" s="1"/>
      <c r="H37" s="1"/>
      <c r="I37" s="1"/>
      <c r="J37" s="1">
        <f>16+59/60</f>
        <v>16.983333333333334</v>
      </c>
      <c r="K37" s="1"/>
      <c r="L37" s="1">
        <f>11+53/60</f>
        <v>11.883333333333333</v>
      </c>
      <c r="M37" s="1"/>
      <c r="N37" s="1">
        <f>32+51/60</f>
        <v>32.85</v>
      </c>
      <c r="O37" s="1"/>
      <c r="P37" s="6"/>
      <c r="Q37" s="1">
        <f>7+34/60</f>
        <v>7.5666666666666664</v>
      </c>
      <c r="R37" s="1"/>
      <c r="S37" s="1">
        <f>20+26/60</f>
        <v>20.433333333333334</v>
      </c>
      <c r="T37" s="1"/>
      <c r="U37" s="2"/>
      <c r="V37" s="1"/>
    </row>
    <row r="38" spans="1:22" x14ac:dyDescent="0.45">
      <c r="A38" t="s">
        <v>29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6"/>
      <c r="Q38" s="1"/>
      <c r="R38" s="1"/>
      <c r="S38" s="1"/>
      <c r="T38" s="1"/>
      <c r="U38" s="2"/>
      <c r="V38" s="1"/>
    </row>
    <row r="39" spans="1:22" x14ac:dyDescent="0.45">
      <c r="A39" t="s">
        <v>30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6"/>
      <c r="Q39" s="1"/>
      <c r="R39" s="1"/>
      <c r="S39" s="1"/>
      <c r="T39" s="1"/>
      <c r="U39" s="2"/>
      <c r="V39" s="1"/>
    </row>
    <row r="40" spans="1:22" x14ac:dyDescent="0.45">
      <c r="A40" t="s">
        <v>31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6"/>
      <c r="Q40" s="1"/>
      <c r="R40" s="1"/>
      <c r="S40" s="1"/>
      <c r="T40" s="1"/>
      <c r="U40" s="2"/>
      <c r="V40" s="1"/>
    </row>
    <row r="41" spans="1:22" x14ac:dyDescent="0.45">
      <c r="A41" t="s">
        <v>32</v>
      </c>
      <c r="B41" s="1">
        <f>8+23/60</f>
        <v>8.3833333333333329</v>
      </c>
      <c r="C41" s="1">
        <f>7+57/60</f>
        <v>7.95</v>
      </c>
      <c r="D41" s="1">
        <f>7+15/60</f>
        <v>7.25</v>
      </c>
      <c r="E41" s="1">
        <f>9+23/60</f>
        <v>9.3833333333333329</v>
      </c>
      <c r="F41" s="1">
        <f>7+41/60</f>
        <v>7.6833333333333336</v>
      </c>
      <c r="G41" s="1">
        <f>11+21/60</f>
        <v>11.35</v>
      </c>
      <c r="H41" s="1">
        <f>15+3/60</f>
        <v>15.05</v>
      </c>
      <c r="I41" s="1">
        <f>30+18/60</f>
        <v>30.3</v>
      </c>
      <c r="J41" s="1">
        <f>11+51/60</f>
        <v>11.85</v>
      </c>
      <c r="K41" s="1">
        <f>14+27/60</f>
        <v>14.45</v>
      </c>
      <c r="L41" s="1">
        <f>7+4/60</f>
        <v>7.0666666666666664</v>
      </c>
      <c r="M41" s="1">
        <f>10+39/60</f>
        <v>10.65</v>
      </c>
      <c r="N41" s="1">
        <f>25+44/60</f>
        <v>25.733333333333334</v>
      </c>
      <c r="O41" s="1">
        <f>14+24/60</f>
        <v>14.4</v>
      </c>
      <c r="P41" s="6"/>
      <c r="Q41" s="1"/>
      <c r="R41" s="1">
        <f>14+49/60</f>
        <v>14.816666666666666</v>
      </c>
      <c r="S41" s="1">
        <f>11+27/60</f>
        <v>11.45</v>
      </c>
      <c r="T41" s="1">
        <f>20+41/60</f>
        <v>20.683333333333334</v>
      </c>
      <c r="U41" s="2">
        <f>SUM(B41:O41,$P$25,Q41:T41)</f>
        <v>255.08333333333334</v>
      </c>
      <c r="V41" s="1">
        <f>30+18/60</f>
        <v>30.3</v>
      </c>
    </row>
    <row r="42" spans="1:22" x14ac:dyDescent="0.45">
      <c r="A42" t="s">
        <v>33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6"/>
      <c r="Q42" s="1"/>
      <c r="R42" s="1"/>
      <c r="S42" s="1"/>
      <c r="T42" s="1"/>
      <c r="U42" s="2"/>
      <c r="V42" s="1"/>
    </row>
    <row r="43" spans="1:22" x14ac:dyDescent="0.45">
      <c r="A43" t="s">
        <v>34</v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>
        <f>36+11/60</f>
        <v>36.18333333333333</v>
      </c>
      <c r="O43" s="1"/>
      <c r="P43" s="6"/>
      <c r="Q43" s="1">
        <f>2+58/60</f>
        <v>2.9666666666666668</v>
      </c>
      <c r="R43" s="1"/>
      <c r="S43" s="1"/>
      <c r="T43" s="1"/>
      <c r="U43" s="2"/>
      <c r="V43" s="1"/>
    </row>
  </sheetData>
  <mergeCells count="2">
    <mergeCell ref="P2:P20"/>
    <mergeCell ref="P25:P43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E97C-2D49-4E83-8358-7E67F004FA20}">
  <dimension ref="A1:V20"/>
  <sheetViews>
    <sheetView workbookViewId="0">
      <selection activeCell="T11" sqref="T11"/>
    </sheetView>
  </sheetViews>
  <sheetFormatPr defaultRowHeight="18" x14ac:dyDescent="0.45"/>
  <sheetData>
    <row r="1" spans="1:22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53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15</v>
      </c>
      <c r="Q1" t="s">
        <v>13</v>
      </c>
      <c r="R1" t="s">
        <v>36</v>
      </c>
      <c r="S1" t="s">
        <v>35</v>
      </c>
      <c r="T1" t="s">
        <v>14</v>
      </c>
      <c r="U1" t="s">
        <v>54</v>
      </c>
      <c r="V1" t="s">
        <v>58</v>
      </c>
    </row>
    <row r="2" spans="1:22" x14ac:dyDescent="0.45">
      <c r="A2" t="s">
        <v>16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6">
        <f>26+17/60</f>
        <v>26.283333333333335</v>
      </c>
      <c r="Q2" s="1"/>
      <c r="R2" s="1"/>
      <c r="S2" s="1"/>
      <c r="T2" s="1"/>
      <c r="U2" s="2"/>
      <c r="V2" s="1"/>
    </row>
    <row r="3" spans="1:22" x14ac:dyDescent="0.45">
      <c r="A3" t="s">
        <v>17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6"/>
      <c r="Q3" s="1"/>
      <c r="R3" s="1"/>
      <c r="S3" s="1"/>
      <c r="T3" s="1"/>
      <c r="U3" s="2"/>
      <c r="V3" s="1"/>
    </row>
    <row r="4" spans="1:22" x14ac:dyDescent="0.45">
      <c r="A4" t="s">
        <v>18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6"/>
      <c r="Q4" s="1"/>
      <c r="R4" s="1"/>
      <c r="S4" s="1"/>
      <c r="T4" s="1"/>
      <c r="U4" s="2"/>
      <c r="V4" s="1"/>
    </row>
    <row r="5" spans="1:22" x14ac:dyDescent="0.45">
      <c r="A5" t="s">
        <v>20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6"/>
      <c r="Q5" s="1"/>
      <c r="R5" s="1"/>
      <c r="S5" s="1"/>
      <c r="T5" s="1"/>
      <c r="U5" s="2"/>
      <c r="V5" s="1"/>
    </row>
    <row r="6" spans="1:22" x14ac:dyDescent="0.45">
      <c r="A6" t="s">
        <v>19</v>
      </c>
      <c r="B6" s="1"/>
      <c r="C6" s="1">
        <f>5+53/60</f>
        <v>5.8833333333333329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/>
      <c r="Q6" s="1"/>
      <c r="R6" s="1"/>
      <c r="S6" s="1"/>
      <c r="T6" s="1"/>
      <c r="U6" s="2"/>
      <c r="V6" s="1"/>
    </row>
    <row r="7" spans="1:22" x14ac:dyDescent="0.45">
      <c r="A7" t="s">
        <v>21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6"/>
      <c r="Q7" s="1"/>
      <c r="R7" s="1"/>
      <c r="S7" s="1"/>
      <c r="T7" s="1"/>
      <c r="U7" s="2"/>
      <c r="V7" s="1"/>
    </row>
    <row r="8" spans="1:22" x14ac:dyDescent="0.45">
      <c r="A8" t="s">
        <v>22</v>
      </c>
      <c r="B8" s="1"/>
      <c r="C8" s="1"/>
      <c r="D8" s="1">
        <f>6+6/60</f>
        <v>6.1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6"/>
      <c r="Q8" s="1"/>
      <c r="R8" s="1"/>
      <c r="S8" s="1"/>
      <c r="T8" s="1"/>
      <c r="U8" s="2"/>
      <c r="V8" s="1"/>
    </row>
    <row r="9" spans="1:22" x14ac:dyDescent="0.45">
      <c r="A9" t="s">
        <v>23</v>
      </c>
      <c r="P9" s="6"/>
      <c r="U9" s="2"/>
    </row>
    <row r="10" spans="1:22" x14ac:dyDescent="0.45">
      <c r="A10" t="s">
        <v>24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6"/>
      <c r="Q10" s="1"/>
      <c r="R10" s="1"/>
      <c r="S10" s="1"/>
      <c r="T10" s="1"/>
      <c r="U10" s="2"/>
      <c r="V10" s="1"/>
    </row>
    <row r="11" spans="1:22" x14ac:dyDescent="0.45">
      <c r="A11" t="s">
        <v>25</v>
      </c>
      <c r="B11" s="1"/>
      <c r="C11" s="1"/>
      <c r="D11" s="1"/>
      <c r="E11" s="1"/>
      <c r="F11" s="1"/>
      <c r="G11" s="1">
        <f>10+9/60</f>
        <v>10.15</v>
      </c>
      <c r="H11" s="1">
        <f>13+35/60</f>
        <v>13.583333333333334</v>
      </c>
      <c r="I11" s="1"/>
      <c r="J11" s="1">
        <f>11+50/60</f>
        <v>11.833333333333334</v>
      </c>
      <c r="K11" s="1"/>
      <c r="L11" s="1"/>
      <c r="M11" s="1">
        <f>8+3/60</f>
        <v>8.0500000000000007</v>
      </c>
      <c r="N11" s="1"/>
      <c r="O11" s="1"/>
      <c r="P11" s="6"/>
      <c r="Q11" s="1"/>
      <c r="R11" s="1"/>
      <c r="S11" s="1"/>
      <c r="T11" s="1">
        <f>18+2/60</f>
        <v>18.033333333333335</v>
      </c>
      <c r="U11" s="2"/>
      <c r="V11" s="1"/>
    </row>
    <row r="12" spans="1:22" x14ac:dyDescent="0.45">
      <c r="A12" t="s">
        <v>26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6"/>
      <c r="Q12" s="1"/>
      <c r="R12" s="1"/>
      <c r="S12" s="1"/>
      <c r="T12" s="1"/>
      <c r="U12" s="2"/>
      <c r="V12" s="1"/>
    </row>
    <row r="13" spans="1:22" x14ac:dyDescent="0.45">
      <c r="A13" t="s">
        <v>27</v>
      </c>
      <c r="B13" s="1"/>
      <c r="C13" s="1"/>
      <c r="D13" s="1">
        <f>5+40/60</f>
        <v>5.666666666666667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6"/>
      <c r="Q13" s="1"/>
      <c r="R13" s="1"/>
      <c r="S13" s="1"/>
      <c r="T13" s="1"/>
      <c r="U13" s="2"/>
      <c r="V13" s="1"/>
    </row>
    <row r="14" spans="1:22" x14ac:dyDescent="0.45">
      <c r="A14" t="s">
        <v>28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6"/>
      <c r="Q14" s="1"/>
      <c r="R14" s="1"/>
      <c r="S14" s="1"/>
      <c r="T14" s="1"/>
      <c r="U14" s="2"/>
      <c r="V14" s="1"/>
    </row>
    <row r="15" spans="1:22" x14ac:dyDescent="0.45">
      <c r="A15" t="s">
        <v>29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6"/>
      <c r="Q15" s="1"/>
      <c r="R15" s="1"/>
      <c r="S15" s="1"/>
      <c r="T15" s="1"/>
      <c r="U15" s="2"/>
      <c r="V15" s="1"/>
    </row>
    <row r="16" spans="1:22" x14ac:dyDescent="0.45">
      <c r="A16" t="s">
        <v>30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6"/>
      <c r="Q16" s="1"/>
      <c r="R16" s="1"/>
      <c r="S16" s="1"/>
      <c r="T16" s="1"/>
      <c r="U16" s="2"/>
      <c r="V16" s="1"/>
    </row>
    <row r="17" spans="1:22" x14ac:dyDescent="0.45">
      <c r="A17" t="s">
        <v>31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>
        <f>5+38/60</f>
        <v>5.6333333333333329</v>
      </c>
      <c r="M17" s="1"/>
      <c r="N17" s="1"/>
      <c r="O17" s="1"/>
      <c r="P17" s="6"/>
      <c r="Q17" s="1"/>
      <c r="R17" s="1"/>
      <c r="S17" s="1"/>
      <c r="T17" s="1"/>
      <c r="U17" s="2"/>
      <c r="V17" s="1"/>
    </row>
    <row r="18" spans="1:22" x14ac:dyDescent="0.45">
      <c r="A18" t="s">
        <v>32</v>
      </c>
      <c r="B18" s="1">
        <f>8+6/60</f>
        <v>8.1</v>
      </c>
      <c r="C18" s="1"/>
      <c r="D18" s="1"/>
      <c r="E18" s="1">
        <f>8+44/60</f>
        <v>8.7333333333333325</v>
      </c>
      <c r="F18" s="1">
        <f>7+15/60</f>
        <v>7.25</v>
      </c>
      <c r="G18" s="1"/>
      <c r="H18" s="1"/>
      <c r="I18" s="1"/>
      <c r="J18" s="1"/>
      <c r="K18" s="1"/>
      <c r="L18" s="1"/>
      <c r="M18" s="1"/>
      <c r="N18" s="1">
        <f>20+5/60</f>
        <v>20.083333333333332</v>
      </c>
      <c r="O18" s="1">
        <f>12+51/60</f>
        <v>12.85</v>
      </c>
      <c r="P18" s="6"/>
      <c r="Q18" s="1"/>
      <c r="R18" s="1">
        <f>14+4/60</f>
        <v>14.066666666666666</v>
      </c>
      <c r="S18" s="1"/>
      <c r="T18" s="1"/>
      <c r="U18" s="2"/>
      <c r="V18" s="1"/>
    </row>
    <row r="19" spans="1:22" x14ac:dyDescent="0.45">
      <c r="A19" t="s">
        <v>33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6"/>
      <c r="Q19" s="1"/>
      <c r="R19" s="1"/>
      <c r="S19" s="1"/>
      <c r="T19" s="1"/>
      <c r="U19" s="2"/>
      <c r="V19" s="1"/>
    </row>
    <row r="20" spans="1:22" x14ac:dyDescent="0.45">
      <c r="A20" t="s">
        <v>34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6"/>
      <c r="Q20" s="1">
        <f>2+58/60</f>
        <v>2.9666666666666668</v>
      </c>
      <c r="R20" s="1"/>
      <c r="S20" s="1"/>
      <c r="T20" s="1"/>
      <c r="U20" s="2"/>
      <c r="V20" s="1"/>
    </row>
  </sheetData>
  <mergeCells count="1">
    <mergeCell ref="P2:P20"/>
  </mergeCells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89754-8DA5-4643-8DE9-57F84235AF07}">
  <dimension ref="A1:O43"/>
  <sheetViews>
    <sheetView topLeftCell="A22" workbookViewId="0">
      <selection activeCell="I31" sqref="I31"/>
    </sheetView>
  </sheetViews>
  <sheetFormatPr defaultRowHeight="18" x14ac:dyDescent="0.45"/>
  <sheetData>
    <row r="1" spans="1:15" x14ac:dyDescent="0.45">
      <c r="B1" t="s">
        <v>41</v>
      </c>
      <c r="C1" t="s">
        <v>38</v>
      </c>
      <c r="D1" t="s">
        <v>40</v>
      </c>
      <c r="E1" t="s">
        <v>39</v>
      </c>
      <c r="F1" t="s">
        <v>37</v>
      </c>
      <c r="G1" t="s">
        <v>42</v>
      </c>
      <c r="H1" t="s">
        <v>49</v>
      </c>
      <c r="I1" t="s">
        <v>45</v>
      </c>
      <c r="J1" t="s">
        <v>43</v>
      </c>
      <c r="K1" t="s">
        <v>46</v>
      </c>
      <c r="L1" t="s">
        <v>44</v>
      </c>
      <c r="M1" t="s">
        <v>50</v>
      </c>
      <c r="N1" t="s">
        <v>55</v>
      </c>
    </row>
    <row r="2" spans="1:15" x14ac:dyDescent="0.45">
      <c r="A2" t="s">
        <v>16</v>
      </c>
      <c r="B2" s="1"/>
      <c r="C2" s="1"/>
      <c r="D2" s="1"/>
      <c r="E2" s="1"/>
      <c r="F2" s="1"/>
      <c r="G2" s="6">
        <f>ROUNDUP(G25,2)</f>
        <v>10.47</v>
      </c>
      <c r="H2" s="5"/>
      <c r="I2" s="1"/>
      <c r="J2" s="1"/>
      <c r="K2" s="1"/>
      <c r="L2" s="1"/>
      <c r="M2" s="4"/>
      <c r="N2" s="4"/>
    </row>
    <row r="3" spans="1:15" x14ac:dyDescent="0.45">
      <c r="A3" t="s">
        <v>17</v>
      </c>
      <c r="B3" s="1"/>
      <c r="C3" s="1"/>
      <c r="D3" s="1"/>
      <c r="E3" s="1"/>
      <c r="F3" s="1"/>
      <c r="G3" s="6"/>
      <c r="H3" s="5"/>
      <c r="I3" s="1"/>
      <c r="J3" s="1"/>
      <c r="K3" s="1"/>
      <c r="L3" s="1"/>
      <c r="M3" s="4"/>
      <c r="N3" s="4"/>
    </row>
    <row r="4" spans="1:15" x14ac:dyDescent="0.45">
      <c r="A4" t="s">
        <v>18</v>
      </c>
      <c r="B4" s="1">
        <f>ROUNDUP(B27,2)</f>
        <v>18.690000000000001</v>
      </c>
      <c r="C4" s="1">
        <f t="shared" ref="C4:F7" si="0">ROUNDUP(C27,2)</f>
        <v>23.05</v>
      </c>
      <c r="D4" s="1">
        <f t="shared" si="0"/>
        <v>11.95</v>
      </c>
      <c r="E4" s="1">
        <f t="shared" si="0"/>
        <v>18</v>
      </c>
      <c r="F4" s="1">
        <f t="shared" si="0"/>
        <v>34.47</v>
      </c>
      <c r="G4" s="6"/>
      <c r="H4" s="5">
        <f>ROUNDUP(H27,2)/86400</f>
        <v>1.3497685185185186E-3</v>
      </c>
      <c r="I4" s="1">
        <f>ROUNDUP(I27,2)</f>
        <v>28.25</v>
      </c>
      <c r="J4" s="1">
        <f t="shared" ref="J4:L5" si="1">ROUNDUP(J27,2)</f>
        <v>36.69</v>
      </c>
      <c r="K4" s="1">
        <f t="shared" si="1"/>
        <v>56.419999999999995</v>
      </c>
      <c r="L4" s="1">
        <f t="shared" si="1"/>
        <v>87.8</v>
      </c>
      <c r="M4" s="5">
        <f>ROUNDUP(M27,2)/86400</f>
        <v>2.4207175925925928E-3</v>
      </c>
      <c r="N4" s="5">
        <f>ROUNDUP(N27,2)/86400</f>
        <v>3.7704861111111107E-3</v>
      </c>
    </row>
    <row r="5" spans="1:15" x14ac:dyDescent="0.45">
      <c r="A5" t="s">
        <v>20</v>
      </c>
      <c r="B5" s="1">
        <f>ROUNDUP(B28,2)</f>
        <v>12.34</v>
      </c>
      <c r="C5" s="1">
        <f t="shared" si="0"/>
        <v>22.05</v>
      </c>
      <c r="D5" s="1">
        <f t="shared" si="0"/>
        <v>6.99</v>
      </c>
      <c r="E5" s="1">
        <f t="shared" si="0"/>
        <v>13.32</v>
      </c>
      <c r="F5" s="1">
        <f t="shared" si="0"/>
        <v>21.240000000000002</v>
      </c>
      <c r="G5" s="6"/>
      <c r="H5" s="5">
        <f>ROUNDUP(H28,2)/86400</f>
        <v>9.9988425925925917E-4</v>
      </c>
      <c r="I5" s="1">
        <f>ROUNDUP(I28,2)</f>
        <v>18</v>
      </c>
      <c r="J5" s="1">
        <f t="shared" si="1"/>
        <v>23.82</v>
      </c>
      <c r="K5" s="1">
        <f t="shared" si="1"/>
        <v>35.369999999999997</v>
      </c>
      <c r="L5" s="1">
        <f t="shared" si="1"/>
        <v>65.39</v>
      </c>
      <c r="M5" s="5">
        <f>ROUNDUP(M28,2)/86400</f>
        <v>1.6501157407407406E-3</v>
      </c>
      <c r="N5" s="5">
        <f>ROUNDUP(N28,2)/86400</f>
        <v>2.6499999999999996E-3</v>
      </c>
    </row>
    <row r="6" spans="1:15" x14ac:dyDescent="0.45">
      <c r="A6" t="s">
        <v>19</v>
      </c>
      <c r="B6" s="1"/>
      <c r="C6" s="1"/>
      <c r="D6" s="1"/>
      <c r="E6" s="1"/>
      <c r="F6" s="1"/>
      <c r="G6" s="6"/>
      <c r="H6" s="5"/>
      <c r="I6" s="1"/>
      <c r="J6" s="1"/>
      <c r="K6" s="1"/>
      <c r="L6" s="1"/>
      <c r="M6" s="5"/>
      <c r="N6" s="5"/>
    </row>
    <row r="7" spans="1:15" x14ac:dyDescent="0.45">
      <c r="A7" t="s">
        <v>21</v>
      </c>
      <c r="B7" s="1">
        <f>ROUNDUP(B30,2)</f>
        <v>17.87</v>
      </c>
      <c r="C7" s="1">
        <f t="shared" si="0"/>
        <v>15.69</v>
      </c>
      <c r="D7" s="1">
        <f t="shared" si="0"/>
        <v>9.32</v>
      </c>
      <c r="E7" s="1">
        <f t="shared" si="0"/>
        <v>16.470000000000002</v>
      </c>
      <c r="F7" s="1"/>
      <c r="G7" s="6"/>
      <c r="H7" s="5"/>
      <c r="I7" s="1">
        <f>ROUNDUP(I30,2)</f>
        <v>27.37</v>
      </c>
      <c r="J7" s="1">
        <f t="shared" ref="J7:L9" si="2">ROUNDUP(J30,2)</f>
        <v>34.269999999999996</v>
      </c>
      <c r="K7" s="1">
        <f t="shared" si="2"/>
        <v>55.64</v>
      </c>
      <c r="L7" s="1">
        <f t="shared" si="2"/>
        <v>77.87</v>
      </c>
      <c r="M7" s="5">
        <f>ROUNDUP(M30,2)/86400</f>
        <v>2.2585648148148148E-3</v>
      </c>
      <c r="N7" s="5"/>
    </row>
    <row r="8" spans="1:15" x14ac:dyDescent="0.45">
      <c r="A8" t="s">
        <v>22</v>
      </c>
      <c r="B8" s="1">
        <f>ROUNDUP(B31,2)</f>
        <v>11.4</v>
      </c>
      <c r="C8" s="1">
        <f t="shared" ref="C8:F9" si="3">ROUNDUP(C31,2)</f>
        <v>8.92</v>
      </c>
      <c r="D8" s="1">
        <f t="shared" si="3"/>
        <v>6.99</v>
      </c>
      <c r="E8" s="1">
        <f t="shared" si="3"/>
        <v>12.69</v>
      </c>
      <c r="F8" s="1">
        <f t="shared" si="3"/>
        <v>24.65</v>
      </c>
      <c r="G8" s="6"/>
      <c r="H8" s="5">
        <f>ROUNDUP(H31,2)/86400</f>
        <v>8.6932870370370365E-4</v>
      </c>
      <c r="I8" s="1">
        <f>ROUNDUP(I31,2)</f>
        <v>15.62</v>
      </c>
      <c r="J8" s="1">
        <f t="shared" si="2"/>
        <v>23.25</v>
      </c>
      <c r="K8" s="1">
        <f t="shared" si="2"/>
        <v>32.739999999999995</v>
      </c>
      <c r="L8" s="1">
        <f t="shared" si="2"/>
        <v>58.269999999999996</v>
      </c>
      <c r="M8" s="5">
        <f>ROUNDUP(M31,2)/86400</f>
        <v>1.5031250000000001E-3</v>
      </c>
      <c r="N8" s="5">
        <f>ROUNDUP(N31,2)/86400</f>
        <v>2.3723379629629628E-3</v>
      </c>
      <c r="O8" t="s">
        <v>47</v>
      </c>
    </row>
    <row r="9" spans="1:15" x14ac:dyDescent="0.45">
      <c r="A9" t="s">
        <v>23</v>
      </c>
      <c r="B9" s="1">
        <f>ROUNDUP(B32,2)</f>
        <v>20.440000000000001</v>
      </c>
      <c r="C9" s="1">
        <f t="shared" si="3"/>
        <v>22.520000000000003</v>
      </c>
      <c r="D9" s="1">
        <f t="shared" si="3"/>
        <v>13.59</v>
      </c>
      <c r="E9" s="1">
        <f t="shared" si="3"/>
        <v>19.740000000000002</v>
      </c>
      <c r="F9" s="1">
        <f t="shared" si="3"/>
        <v>32.65</v>
      </c>
      <c r="G9" s="6"/>
      <c r="H9" s="5">
        <f>ROUNDUP(H32,2)/86400</f>
        <v>1.3818287037037037E-3</v>
      </c>
      <c r="I9" s="1">
        <f>ROUNDUP(I32,2)</f>
        <v>35.94</v>
      </c>
      <c r="J9" s="1">
        <f t="shared" si="2"/>
        <v>32.339999999999996</v>
      </c>
      <c r="K9" s="1">
        <f t="shared" si="2"/>
        <v>53.57</v>
      </c>
      <c r="L9" s="1">
        <f t="shared" si="2"/>
        <v>82.22</v>
      </c>
      <c r="M9" s="5">
        <f>ROUNDUP(M32,2)/86400</f>
        <v>2.3616898148148152E-3</v>
      </c>
      <c r="N9" s="5">
        <f>ROUNDUP(N32,2)/86400</f>
        <v>3.7435185185185184E-3</v>
      </c>
    </row>
    <row r="10" spans="1:15" x14ac:dyDescent="0.45">
      <c r="A10" t="s">
        <v>24</v>
      </c>
      <c r="B10" s="1"/>
      <c r="C10" s="1"/>
      <c r="D10" s="1"/>
      <c r="E10" s="1"/>
      <c r="F10" s="1"/>
      <c r="G10" s="6"/>
      <c r="H10" s="5"/>
      <c r="I10" s="1"/>
      <c r="J10" s="1"/>
      <c r="K10" s="1"/>
      <c r="L10" s="1"/>
      <c r="M10" s="5"/>
      <c r="N10" s="5"/>
    </row>
    <row r="11" spans="1:15" x14ac:dyDescent="0.45">
      <c r="A11" t="s">
        <v>25</v>
      </c>
      <c r="B11" s="1"/>
      <c r="C11" s="1" t="s">
        <v>48</v>
      </c>
      <c r="D11" s="1"/>
      <c r="E11" s="1"/>
      <c r="F11" s="1"/>
      <c r="G11" s="6"/>
      <c r="H11" s="5"/>
      <c r="I11" s="1"/>
      <c r="J11" s="1"/>
      <c r="K11" s="1"/>
      <c r="L11" s="1"/>
      <c r="M11" s="5"/>
      <c r="N11" s="5"/>
    </row>
    <row r="12" spans="1:15" x14ac:dyDescent="0.45">
      <c r="A12" t="s">
        <v>26</v>
      </c>
      <c r="B12" s="1"/>
      <c r="C12" s="1"/>
      <c r="D12" s="1"/>
      <c r="E12" s="1"/>
      <c r="F12" s="1"/>
      <c r="G12" s="6"/>
      <c r="H12" s="5"/>
      <c r="I12" s="1"/>
      <c r="J12" s="1"/>
      <c r="K12" s="1"/>
      <c r="L12" s="1"/>
      <c r="M12" s="5"/>
      <c r="N12" s="5"/>
    </row>
    <row r="13" spans="1:15" x14ac:dyDescent="0.45">
      <c r="A13" t="s">
        <v>27</v>
      </c>
      <c r="B13" s="1">
        <f>ROUNDUP(B36,2)</f>
        <v>15.44</v>
      </c>
      <c r="C13" s="1">
        <f t="shared" ref="C13:F13" si="4">ROUNDUP(C36,2)</f>
        <v>17.39</v>
      </c>
      <c r="D13" s="1">
        <f t="shared" si="4"/>
        <v>8.6199999999999992</v>
      </c>
      <c r="E13" s="1">
        <f t="shared" si="4"/>
        <v>16.32</v>
      </c>
      <c r="F13" s="1">
        <f t="shared" si="4"/>
        <v>32.239999999999995</v>
      </c>
      <c r="G13" s="6"/>
      <c r="H13" s="5">
        <f>ROUNDUP(H36,2)/86400</f>
        <v>1.1627314814814816E-3</v>
      </c>
      <c r="I13" s="1">
        <f>ROUNDUP(I36,2)</f>
        <v>23.970000000000002</v>
      </c>
      <c r="J13" s="1">
        <f t="shared" ref="J13:L13" si="5">ROUNDUP(J36,2)</f>
        <v>23.220000000000002</v>
      </c>
      <c r="K13" s="1">
        <f t="shared" si="5"/>
        <v>35.15</v>
      </c>
      <c r="L13" s="1">
        <f t="shared" si="5"/>
        <v>74.45</v>
      </c>
      <c r="M13" s="5">
        <f>ROUNDUP(M36,2)/86400</f>
        <v>1.814699074074074E-3</v>
      </c>
      <c r="N13" s="5">
        <f>ROUNDUP(N36,2)/86400</f>
        <v>2.977314814814815E-3</v>
      </c>
    </row>
    <row r="14" spans="1:15" x14ac:dyDescent="0.45">
      <c r="A14" t="s">
        <v>28</v>
      </c>
      <c r="B14" s="1">
        <f>ROUNDUP(B37,2)</f>
        <v>14.9</v>
      </c>
      <c r="C14" s="1">
        <f t="shared" ref="C14:F16" si="6">ROUNDUP(C37,2)</f>
        <v>12.44</v>
      </c>
      <c r="D14" s="1">
        <f t="shared" si="6"/>
        <v>11.95</v>
      </c>
      <c r="E14" s="1"/>
      <c r="F14" s="1">
        <f t="shared" si="6"/>
        <v>41.519999999999996</v>
      </c>
      <c r="G14" s="6"/>
      <c r="H14" s="5"/>
      <c r="I14" s="1"/>
      <c r="J14" s="1"/>
      <c r="K14" s="1"/>
      <c r="L14" s="1"/>
      <c r="M14" s="5"/>
      <c r="N14" s="5"/>
    </row>
    <row r="15" spans="1:15" x14ac:dyDescent="0.45">
      <c r="A15" t="s">
        <v>29</v>
      </c>
      <c r="B15" s="1">
        <f>ROUNDUP(B38,2)</f>
        <v>23.220000000000002</v>
      </c>
      <c r="C15" s="1">
        <f t="shared" si="6"/>
        <v>32.82</v>
      </c>
      <c r="D15" s="1">
        <f t="shared" si="6"/>
        <v>19.790000000000003</v>
      </c>
      <c r="E15" s="1">
        <f t="shared" si="6"/>
        <v>20.89</v>
      </c>
      <c r="F15" s="1">
        <f t="shared" si="6"/>
        <v>35.22</v>
      </c>
      <c r="G15" s="6"/>
      <c r="H15" s="5">
        <f>ROUNDUP(H38,2)/86400</f>
        <v>1.6480324074074073E-3</v>
      </c>
      <c r="I15" s="1">
        <f>ROUNDUP(I38,2)</f>
        <v>26.57</v>
      </c>
      <c r="J15" s="1">
        <f t="shared" ref="J15:L16" si="7">ROUNDUP(J38,2)</f>
        <v>35.299999999999997</v>
      </c>
      <c r="K15" s="1">
        <f t="shared" si="7"/>
        <v>63.57</v>
      </c>
      <c r="L15" s="1">
        <f t="shared" si="7"/>
        <v>106.32000000000001</v>
      </c>
      <c r="M15" s="5">
        <f>ROUNDUP(M38,2)/86400</f>
        <v>2.6822916666666666E-3</v>
      </c>
      <c r="N15" s="5">
        <f>ROUNDUP(N38,2)/86400</f>
        <v>4.3303240740740741E-3</v>
      </c>
    </row>
    <row r="16" spans="1:15" x14ac:dyDescent="0.45">
      <c r="A16" t="s">
        <v>30</v>
      </c>
      <c r="B16" s="1">
        <f>ROUNDUP(B39,2)</f>
        <v>21.14</v>
      </c>
      <c r="C16" s="1">
        <f t="shared" si="6"/>
        <v>22.020000000000003</v>
      </c>
      <c r="D16" s="1">
        <f t="shared" si="6"/>
        <v>11.95</v>
      </c>
      <c r="E16" s="1">
        <f t="shared" si="6"/>
        <v>19.740000000000002</v>
      </c>
      <c r="F16" s="1">
        <f t="shared" si="6"/>
        <v>33.869999999999997</v>
      </c>
      <c r="G16" s="6"/>
      <c r="H16" s="5">
        <f>ROUNDUP(H39,2)/86400</f>
        <v>1.3792824074074074E-3</v>
      </c>
      <c r="I16" s="1">
        <f>ROUNDUP(I39,2)</f>
        <v>27.35</v>
      </c>
      <c r="J16" s="1">
        <f t="shared" si="7"/>
        <v>30.69</v>
      </c>
      <c r="K16" s="1">
        <f t="shared" si="7"/>
        <v>56.75</v>
      </c>
      <c r="L16" s="1">
        <f t="shared" si="7"/>
        <v>79.42</v>
      </c>
      <c r="M16" s="5">
        <f>ROUNDUP(M39,2)/86400</f>
        <v>2.247685185185185E-3</v>
      </c>
      <c r="N16" s="5">
        <f>ROUNDUP(N39,2)/86400</f>
        <v>3.6269675925925927E-3</v>
      </c>
    </row>
    <row r="17" spans="1:14" x14ac:dyDescent="0.45">
      <c r="A17" t="s">
        <v>31</v>
      </c>
      <c r="B17" s="1"/>
      <c r="C17" s="1"/>
      <c r="D17" s="1"/>
      <c r="E17" s="1"/>
      <c r="F17" s="1"/>
      <c r="G17" s="6"/>
      <c r="H17" s="5"/>
      <c r="I17" s="1"/>
      <c r="J17" s="1"/>
      <c r="K17" s="1"/>
      <c r="L17" s="1"/>
      <c r="M17" s="4"/>
      <c r="N17" s="4"/>
    </row>
    <row r="18" spans="1:14" x14ac:dyDescent="0.45">
      <c r="A18" t="s">
        <v>32</v>
      </c>
      <c r="B18" s="1">
        <f>ROUNDUP(B41,2)</f>
        <v>10.55</v>
      </c>
      <c r="C18" s="1">
        <f t="shared" ref="C18:E18" si="8">ROUNDUP(C41,2)</f>
        <v>15.42</v>
      </c>
      <c r="D18" s="1">
        <f t="shared" si="8"/>
        <v>6.27</v>
      </c>
      <c r="E18" s="1">
        <f t="shared" si="8"/>
        <v>11.2</v>
      </c>
      <c r="F18" s="1"/>
      <c r="G18" s="6"/>
      <c r="H18" s="5"/>
      <c r="I18" s="1">
        <f>ROUNDUP(I41,2)</f>
        <v>12.12</v>
      </c>
      <c r="J18" s="1">
        <f t="shared" ref="J18:L18" si="9">ROUNDUP(J41,2)</f>
        <v>17.75</v>
      </c>
      <c r="K18" s="1">
        <f t="shared" si="9"/>
        <v>28.09</v>
      </c>
      <c r="L18" s="1">
        <f t="shared" si="9"/>
        <v>46.45</v>
      </c>
      <c r="M18" s="5">
        <f>ROUNDUP(M41,2)/86400</f>
        <v>1.2083333333333334E-3</v>
      </c>
      <c r="N18" s="5">
        <f>ROUNDUP(N41,2)/86400</f>
        <v>2.0500000000000002E-3</v>
      </c>
    </row>
    <row r="19" spans="1:14" x14ac:dyDescent="0.45">
      <c r="A19" t="s">
        <v>33</v>
      </c>
      <c r="B19" s="1"/>
      <c r="C19" s="1"/>
      <c r="D19" s="1"/>
      <c r="E19" s="1"/>
      <c r="F19" s="1"/>
      <c r="G19" s="6"/>
      <c r="H19" s="5"/>
      <c r="I19" s="1"/>
      <c r="J19" s="1"/>
      <c r="K19" s="1"/>
      <c r="L19" s="1"/>
      <c r="M19" s="4"/>
      <c r="N19" s="4"/>
    </row>
    <row r="20" spans="1:14" x14ac:dyDescent="0.45">
      <c r="A20" t="s">
        <v>34</v>
      </c>
      <c r="B20" s="1"/>
      <c r="C20" s="1"/>
      <c r="D20" s="1"/>
      <c r="E20" s="1"/>
      <c r="F20" s="1"/>
      <c r="G20" s="6"/>
      <c r="H20" s="5"/>
      <c r="I20" s="1"/>
      <c r="J20" s="1"/>
      <c r="K20" s="1"/>
      <c r="L20" s="1"/>
      <c r="M20" s="4"/>
      <c r="N20" s="4"/>
    </row>
    <row r="24" spans="1:14" x14ac:dyDescent="0.45">
      <c r="B24" t="s">
        <v>41</v>
      </c>
      <c r="C24" t="s">
        <v>38</v>
      </c>
      <c r="D24" t="s">
        <v>40</v>
      </c>
      <c r="E24" t="s">
        <v>39</v>
      </c>
      <c r="F24" t="s">
        <v>37</v>
      </c>
      <c r="G24" t="s">
        <v>42</v>
      </c>
      <c r="H24" t="s">
        <v>49</v>
      </c>
      <c r="I24" t="s">
        <v>45</v>
      </c>
      <c r="J24" t="s">
        <v>43</v>
      </c>
      <c r="K24" t="s">
        <v>46</v>
      </c>
      <c r="L24" t="s">
        <v>44</v>
      </c>
      <c r="M24" t="s">
        <v>50</v>
      </c>
      <c r="N24" t="s">
        <v>55</v>
      </c>
    </row>
    <row r="25" spans="1:14" x14ac:dyDescent="0.45">
      <c r="A25" t="s">
        <v>16</v>
      </c>
      <c r="B25" s="1"/>
      <c r="C25" s="1"/>
      <c r="D25" s="1"/>
      <c r="E25" s="1"/>
      <c r="F25" s="1"/>
      <c r="G25" s="6">
        <f>10+28/60</f>
        <v>10.466666666666667</v>
      </c>
      <c r="H25" s="3"/>
      <c r="I25" s="1"/>
      <c r="J25" s="1"/>
      <c r="K25" s="1"/>
      <c r="L25" s="1"/>
      <c r="M25" s="1"/>
      <c r="N25" s="2"/>
    </row>
    <row r="26" spans="1:14" x14ac:dyDescent="0.45">
      <c r="A26" t="s">
        <v>17</v>
      </c>
      <c r="B26" s="1"/>
      <c r="C26" s="1"/>
      <c r="D26" s="1"/>
      <c r="E26" s="1"/>
      <c r="F26" s="1"/>
      <c r="G26" s="6"/>
      <c r="H26" s="3"/>
      <c r="I26" s="1"/>
      <c r="J26" s="1"/>
      <c r="K26" s="1"/>
      <c r="L26" s="1"/>
      <c r="M26" s="1"/>
      <c r="N26" s="2"/>
    </row>
    <row r="27" spans="1:14" x14ac:dyDescent="0.45">
      <c r="A27" t="s">
        <v>18</v>
      </c>
      <c r="B27" s="1">
        <f>18+41/60</f>
        <v>18.683333333333334</v>
      </c>
      <c r="C27" s="1">
        <f>23+3/60</f>
        <v>23.05</v>
      </c>
      <c r="D27" s="1">
        <f>11+57/60</f>
        <v>11.95</v>
      </c>
      <c r="E27" s="1">
        <f>18+0/60</f>
        <v>18</v>
      </c>
      <c r="F27" s="1">
        <f>34+28/60</f>
        <v>34.466666666666669</v>
      </c>
      <c r="G27" s="6"/>
      <c r="H27" s="3">
        <f>SUM(B27:F27,$G$2)</f>
        <v>116.62</v>
      </c>
      <c r="I27" s="1">
        <f>28+15/60</f>
        <v>28.25</v>
      </c>
      <c r="J27" s="1">
        <f>36+41/60</f>
        <v>36.68333333333333</v>
      </c>
      <c r="K27" s="1">
        <f>56+25/60</f>
        <v>56.416666666666664</v>
      </c>
      <c r="L27" s="1">
        <f>87+48/60</f>
        <v>87.8</v>
      </c>
      <c r="M27" s="1">
        <f t="shared" ref="M27:M28" si="10">SUM(I27:L27)</f>
        <v>209.14999999999998</v>
      </c>
      <c r="N27" s="2">
        <f>SUM(B27:F27,$G$2,I27:L27)</f>
        <v>325.77</v>
      </c>
    </row>
    <row r="28" spans="1:14" x14ac:dyDescent="0.45">
      <c r="A28" t="s">
        <v>20</v>
      </c>
      <c r="B28" s="1">
        <f>12+20/60</f>
        <v>12.333333333333334</v>
      </c>
      <c r="C28" s="1">
        <f>22+3/60</f>
        <v>22.05</v>
      </c>
      <c r="D28" s="1">
        <f>6+59/60</f>
        <v>6.9833333333333334</v>
      </c>
      <c r="E28" s="1">
        <f>13+19/60</f>
        <v>13.316666666666666</v>
      </c>
      <c r="F28" s="1">
        <f>21+14/60</f>
        <v>21.233333333333334</v>
      </c>
      <c r="G28" s="6"/>
      <c r="H28" s="3">
        <f>SUM(B28:F28,$G$2)</f>
        <v>86.38666666666667</v>
      </c>
      <c r="I28" s="1">
        <f>18+0/60</f>
        <v>18</v>
      </c>
      <c r="J28" s="1">
        <f>23+49/60</f>
        <v>23.816666666666666</v>
      </c>
      <c r="K28" s="1">
        <f>35+22/60</f>
        <v>35.366666666666667</v>
      </c>
      <c r="L28" s="1">
        <f>65+23/60</f>
        <v>65.38333333333334</v>
      </c>
      <c r="M28" s="1">
        <f t="shared" si="10"/>
        <v>142.56666666666666</v>
      </c>
      <c r="N28" s="2">
        <f>SUM(B28:F28,$G$2,I28:L28)</f>
        <v>228.95333333333338</v>
      </c>
    </row>
    <row r="29" spans="1:14" x14ac:dyDescent="0.45">
      <c r="A29" t="s">
        <v>19</v>
      </c>
      <c r="B29" s="1"/>
      <c r="C29" s="1"/>
      <c r="D29" s="1"/>
      <c r="E29" s="1"/>
      <c r="F29" s="1"/>
      <c r="G29" s="6"/>
      <c r="H29" s="3"/>
      <c r="I29" s="1"/>
      <c r="J29" s="1"/>
      <c r="K29" s="1"/>
      <c r="L29" s="1"/>
      <c r="M29" s="1"/>
      <c r="N29" s="2"/>
    </row>
    <row r="30" spans="1:14" x14ac:dyDescent="0.45">
      <c r="A30" t="s">
        <v>21</v>
      </c>
      <c r="B30" s="1">
        <f>17+52/60</f>
        <v>17.866666666666667</v>
      </c>
      <c r="C30" s="1">
        <f>15+41/60</f>
        <v>15.683333333333334</v>
      </c>
      <c r="D30" s="1">
        <f>9+19/60</f>
        <v>9.3166666666666664</v>
      </c>
      <c r="E30" s="1">
        <f>16+28/60</f>
        <v>16.466666666666665</v>
      </c>
      <c r="F30" s="1"/>
      <c r="G30" s="6"/>
      <c r="H30" s="3"/>
      <c r="I30" s="1">
        <f>27+22/60</f>
        <v>27.366666666666667</v>
      </c>
      <c r="J30" s="1">
        <f>34+16/60</f>
        <v>34.266666666666666</v>
      </c>
      <c r="K30" s="1">
        <f>55+38/60</f>
        <v>55.633333333333333</v>
      </c>
      <c r="L30" s="1">
        <f>77+52/60</f>
        <v>77.86666666666666</v>
      </c>
      <c r="M30" s="1">
        <f t="shared" ref="M30:M32" si="11">SUM(I30:L30)</f>
        <v>195.13333333333333</v>
      </c>
      <c r="N30" s="2"/>
    </row>
    <row r="31" spans="1:14" x14ac:dyDescent="0.45">
      <c r="A31" t="s">
        <v>22</v>
      </c>
      <c r="B31" s="1">
        <f>11+24/60</f>
        <v>11.4</v>
      </c>
      <c r="C31" s="1">
        <f>8+55/60</f>
        <v>8.9166666666666661</v>
      </c>
      <c r="D31" s="1">
        <f>6+59/60</f>
        <v>6.9833333333333334</v>
      </c>
      <c r="E31" s="1">
        <f>12+41/60</f>
        <v>12.683333333333334</v>
      </c>
      <c r="F31" s="1">
        <f>24+39/60</f>
        <v>24.65</v>
      </c>
      <c r="G31" s="6"/>
      <c r="H31" s="3">
        <f>SUM(B31:F31,$G$2)</f>
        <v>75.103333333333325</v>
      </c>
      <c r="I31" s="1">
        <f>15+37/60</f>
        <v>15.616666666666667</v>
      </c>
      <c r="J31" s="1">
        <f>23+15/60</f>
        <v>23.25</v>
      </c>
      <c r="K31" s="1">
        <f>32+44/60</f>
        <v>32.733333333333334</v>
      </c>
      <c r="L31" s="1">
        <f>58+16/60</f>
        <v>58.266666666666666</v>
      </c>
      <c r="M31" s="1">
        <f t="shared" si="11"/>
        <v>129.86666666666667</v>
      </c>
      <c r="N31" s="2">
        <f>SUM(B31:F31,$G$2,I31:L31)</f>
        <v>204.96999999999997</v>
      </c>
    </row>
    <row r="32" spans="1:14" x14ac:dyDescent="0.45">
      <c r="A32" t="s">
        <v>23</v>
      </c>
      <c r="B32" s="1">
        <f>20+26/60</f>
        <v>20.433333333333334</v>
      </c>
      <c r="C32" s="1">
        <f>22+31/60</f>
        <v>22.516666666666666</v>
      </c>
      <c r="D32" s="1">
        <f>13+35/60</f>
        <v>13.583333333333334</v>
      </c>
      <c r="E32" s="1">
        <f>19+44/60</f>
        <v>19.733333333333334</v>
      </c>
      <c r="F32" s="1">
        <f>32+39/60</f>
        <v>32.65</v>
      </c>
      <c r="G32" s="6"/>
      <c r="H32" s="3">
        <f>SUM(B32:F32,$G$2)</f>
        <v>119.38666666666668</v>
      </c>
      <c r="I32" s="1">
        <f>35+56/60</f>
        <v>35.93333333333333</v>
      </c>
      <c r="J32" s="1">
        <f>32+20/60</f>
        <v>32.333333333333336</v>
      </c>
      <c r="K32" s="1">
        <f>53+34/60</f>
        <v>53.56666666666667</v>
      </c>
      <c r="L32" s="1">
        <f>82+13/60</f>
        <v>82.216666666666669</v>
      </c>
      <c r="M32" s="1">
        <f t="shared" si="11"/>
        <v>204.05</v>
      </c>
      <c r="N32" s="2">
        <f>SUM(B32:F32,$G$2,I32:L32)</f>
        <v>323.43666666666672</v>
      </c>
    </row>
    <row r="33" spans="1:14" x14ac:dyDescent="0.45">
      <c r="A33" t="s">
        <v>24</v>
      </c>
      <c r="B33" s="1"/>
      <c r="C33" s="1"/>
      <c r="D33" s="1">
        <f>7+11/60</f>
        <v>7.1833333333333336</v>
      </c>
      <c r="E33" s="1"/>
      <c r="F33" s="1">
        <f>34+19/60</f>
        <v>34.31666666666667</v>
      </c>
      <c r="G33" s="6"/>
      <c r="H33" s="3"/>
      <c r="I33" s="1"/>
      <c r="J33" s="1"/>
      <c r="K33" s="1"/>
      <c r="L33" s="1"/>
      <c r="M33" s="1"/>
      <c r="N33" s="2"/>
    </row>
    <row r="34" spans="1:14" x14ac:dyDescent="0.45">
      <c r="A34" t="s">
        <v>25</v>
      </c>
      <c r="B34" s="1"/>
      <c r="C34" s="1" t="s">
        <v>48</v>
      </c>
      <c r="D34" s="1"/>
      <c r="E34" s="1"/>
      <c r="F34" s="1"/>
      <c r="G34" s="6"/>
      <c r="H34" s="3"/>
      <c r="I34" s="1"/>
      <c r="J34" s="1"/>
      <c r="K34" s="1"/>
      <c r="L34" s="1"/>
      <c r="M34" s="1"/>
      <c r="N34" s="2"/>
    </row>
    <row r="35" spans="1:14" x14ac:dyDescent="0.45">
      <c r="A35" t="s">
        <v>26</v>
      </c>
      <c r="B35" s="1"/>
      <c r="C35" s="1"/>
      <c r="D35" s="1"/>
      <c r="E35" s="1"/>
      <c r="F35" s="1"/>
      <c r="G35" s="6"/>
      <c r="H35" s="3"/>
      <c r="I35" s="1"/>
      <c r="J35" s="1"/>
      <c r="K35" s="1"/>
      <c r="L35" s="1"/>
      <c r="M35" s="1"/>
      <c r="N35" s="2"/>
    </row>
    <row r="36" spans="1:14" x14ac:dyDescent="0.45">
      <c r="A36" t="s">
        <v>27</v>
      </c>
      <c r="B36" s="1">
        <f>15+26/60</f>
        <v>15.433333333333334</v>
      </c>
      <c r="C36" s="1">
        <f>17+23/60</f>
        <v>17.383333333333333</v>
      </c>
      <c r="D36" s="1">
        <f>8+37/60</f>
        <v>8.6166666666666671</v>
      </c>
      <c r="E36" s="1">
        <f>16+19/60</f>
        <v>16.316666666666666</v>
      </c>
      <c r="F36" s="1">
        <f>32+14/60</f>
        <v>32.233333333333334</v>
      </c>
      <c r="G36" s="6"/>
      <c r="H36" s="3">
        <f>SUM(B36:F36,$G$2)</f>
        <v>100.45333333333333</v>
      </c>
      <c r="I36" s="1">
        <f>23+58/60</f>
        <v>23.966666666666665</v>
      </c>
      <c r="J36" s="1">
        <f>23+13/60</f>
        <v>23.216666666666665</v>
      </c>
      <c r="K36" s="1">
        <f>35+9/60</f>
        <v>35.15</v>
      </c>
      <c r="L36" s="1">
        <f>74+27/60</f>
        <v>74.45</v>
      </c>
      <c r="M36" s="1">
        <f t="shared" ref="M36" si="12">SUM(I36:L36)</f>
        <v>156.78333333333333</v>
      </c>
      <c r="N36" s="2">
        <f>SUM(B36:F36,$G$2,I36:L36)</f>
        <v>257.23666666666668</v>
      </c>
    </row>
    <row r="37" spans="1:14" x14ac:dyDescent="0.45">
      <c r="A37" t="s">
        <v>28</v>
      </c>
      <c r="B37" s="1">
        <f>14+54/60</f>
        <v>14.9</v>
      </c>
      <c r="C37" s="1">
        <f>12+26/60</f>
        <v>12.433333333333334</v>
      </c>
      <c r="D37" s="1">
        <f>11+57/60</f>
        <v>11.95</v>
      </c>
      <c r="E37" s="1"/>
      <c r="F37" s="1">
        <f>41+31/60</f>
        <v>41.516666666666666</v>
      </c>
      <c r="G37" s="6"/>
      <c r="H37" s="3"/>
      <c r="I37" s="1"/>
      <c r="J37" s="1"/>
      <c r="K37" s="1"/>
      <c r="L37" s="1"/>
      <c r="M37" s="1"/>
      <c r="N37" s="2"/>
    </row>
    <row r="38" spans="1:14" x14ac:dyDescent="0.45">
      <c r="A38" t="s">
        <v>29</v>
      </c>
      <c r="B38" s="1">
        <f>23+13/60</f>
        <v>23.216666666666665</v>
      </c>
      <c r="C38" s="1">
        <f>32+49/60</f>
        <v>32.81666666666667</v>
      </c>
      <c r="D38" s="1">
        <f>19+47/60</f>
        <v>19.783333333333335</v>
      </c>
      <c r="E38" s="1">
        <f>20+53/60</f>
        <v>20.883333333333333</v>
      </c>
      <c r="F38" s="1">
        <f>35+13/60</f>
        <v>35.216666666666669</v>
      </c>
      <c r="G38" s="6"/>
      <c r="H38" s="3">
        <f>SUM(B38:F38,$G$2)</f>
        <v>142.38666666666666</v>
      </c>
      <c r="I38" s="1">
        <f>26+34/60</f>
        <v>26.566666666666666</v>
      </c>
      <c r="J38" s="1">
        <f>35+18/60</f>
        <v>35.299999999999997</v>
      </c>
      <c r="K38" s="1">
        <f>63+34/60</f>
        <v>63.56666666666667</v>
      </c>
      <c r="L38" s="1">
        <f>106+19/60</f>
        <v>106.31666666666666</v>
      </c>
      <c r="M38" s="1">
        <f t="shared" ref="M38:M39" si="13">SUM(I38:L38)</f>
        <v>231.75</v>
      </c>
      <c r="N38" s="2">
        <f>SUM(B38:F38,$G$2,I38:L38)</f>
        <v>374.13666666666666</v>
      </c>
    </row>
    <row r="39" spans="1:14" x14ac:dyDescent="0.45">
      <c r="A39" t="s">
        <v>30</v>
      </c>
      <c r="B39" s="1">
        <f>21+8/60</f>
        <v>21.133333333333333</v>
      </c>
      <c r="C39" s="1">
        <f>22+1/60</f>
        <v>22.016666666666666</v>
      </c>
      <c r="D39" s="1">
        <f>11+57/60</f>
        <v>11.95</v>
      </c>
      <c r="E39" s="1">
        <f>19+44/60</f>
        <v>19.733333333333334</v>
      </c>
      <c r="F39" s="1">
        <f>33+52/60</f>
        <v>33.866666666666667</v>
      </c>
      <c r="G39" s="6"/>
      <c r="H39" s="3">
        <f>SUM(B39:F39,$G$2)</f>
        <v>119.16999999999999</v>
      </c>
      <c r="I39" s="1">
        <f>27+21/60</f>
        <v>27.35</v>
      </c>
      <c r="J39" s="1">
        <f>30+41/60</f>
        <v>30.683333333333334</v>
      </c>
      <c r="K39" s="1">
        <f>56+45/60</f>
        <v>56.75</v>
      </c>
      <c r="L39" s="1">
        <f>79+25/60</f>
        <v>79.416666666666671</v>
      </c>
      <c r="M39" s="1">
        <f t="shared" si="13"/>
        <v>194.2</v>
      </c>
      <c r="N39" s="2">
        <f>SUM(B39:F39,$G$2,I39:L39)</f>
        <v>313.37</v>
      </c>
    </row>
    <row r="40" spans="1:14" x14ac:dyDescent="0.45">
      <c r="A40" t="s">
        <v>31</v>
      </c>
      <c r="B40" s="1"/>
      <c r="C40" s="1"/>
      <c r="D40" s="1"/>
      <c r="E40" s="1">
        <f>14+1/60</f>
        <v>14.016666666666667</v>
      </c>
      <c r="F40" s="1"/>
      <c r="G40" s="6"/>
      <c r="H40" s="3"/>
      <c r="I40" s="1"/>
      <c r="J40" s="1"/>
      <c r="K40" s="1"/>
      <c r="L40" s="1"/>
      <c r="M40" s="1"/>
      <c r="N40" s="2"/>
    </row>
    <row r="41" spans="1:14" x14ac:dyDescent="0.45">
      <c r="A41" t="s">
        <v>32</v>
      </c>
      <c r="B41" s="1">
        <f>10+33/60</f>
        <v>10.55</v>
      </c>
      <c r="C41" s="1">
        <f>15+25/60</f>
        <v>15.416666666666666</v>
      </c>
      <c r="D41" s="1">
        <f>6+16/60</f>
        <v>6.2666666666666666</v>
      </c>
      <c r="E41" s="1">
        <f>11+12/60</f>
        <v>11.2</v>
      </c>
      <c r="F41" s="1">
        <f>18+49/60</f>
        <v>18.816666666666666</v>
      </c>
      <c r="G41" s="6"/>
      <c r="H41" s="3">
        <f>SUM(B41:F41,$G$2)</f>
        <v>72.72</v>
      </c>
      <c r="I41" s="1">
        <f>12+7/60</f>
        <v>12.116666666666667</v>
      </c>
      <c r="J41" s="1">
        <f>17+45/60</f>
        <v>17.75</v>
      </c>
      <c r="K41" s="1">
        <f>28+5/60</f>
        <v>28.083333333333332</v>
      </c>
      <c r="L41" s="1">
        <f>46+27/60</f>
        <v>46.45</v>
      </c>
      <c r="M41" s="1">
        <f t="shared" ref="M41" si="14">SUM(I41:L41)</f>
        <v>104.4</v>
      </c>
      <c r="N41" s="2">
        <f>SUM(B41:F41,$G$2,I41:L41)</f>
        <v>177.12</v>
      </c>
    </row>
    <row r="42" spans="1:14" x14ac:dyDescent="0.45">
      <c r="A42" t="s">
        <v>33</v>
      </c>
      <c r="B42" s="1"/>
      <c r="C42" s="1"/>
      <c r="D42" s="1"/>
      <c r="E42" s="1"/>
      <c r="F42" s="1"/>
      <c r="G42" s="6"/>
      <c r="H42" s="3"/>
      <c r="I42" s="1"/>
      <c r="J42" s="1"/>
      <c r="K42" s="1"/>
      <c r="L42" s="1"/>
      <c r="M42" s="1"/>
      <c r="N42" s="2"/>
    </row>
    <row r="43" spans="1:14" x14ac:dyDescent="0.45">
      <c r="A43" t="s">
        <v>34</v>
      </c>
      <c r="B43" s="1"/>
      <c r="C43" s="1"/>
      <c r="D43" s="1"/>
      <c r="E43" s="1"/>
      <c r="F43" s="1"/>
      <c r="G43" s="6"/>
      <c r="H43" s="3"/>
      <c r="I43" s="1"/>
      <c r="J43" s="1"/>
      <c r="K43" s="1"/>
      <c r="L43" s="1"/>
      <c r="M43" s="1"/>
      <c r="N43" s="2"/>
    </row>
  </sheetData>
  <mergeCells count="2">
    <mergeCell ref="G25:G43"/>
    <mergeCell ref="G2:G20"/>
  </mergeCells>
  <phoneticPr fontId="1"/>
  <pageMargins left="0.7" right="0.7" top="0.75" bottom="0.75" header="0.3" footer="0.3"/>
  <pageSetup paperSize="9" orientation="portrait" r:id="rId1"/>
  <ignoredErrors>
    <ignoredError sqref="D38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454F1-C55A-40E5-84DD-567A27BC7A3F}">
  <dimension ref="A1:N20"/>
  <sheetViews>
    <sheetView workbookViewId="0">
      <selection activeCell="J7" sqref="J7"/>
    </sheetView>
  </sheetViews>
  <sheetFormatPr defaultRowHeight="18" x14ac:dyDescent="0.45"/>
  <sheetData>
    <row r="1" spans="1:14" x14ac:dyDescent="0.45">
      <c r="B1" t="s">
        <v>41</v>
      </c>
      <c r="C1" t="s">
        <v>38</v>
      </c>
      <c r="D1" t="s">
        <v>40</v>
      </c>
      <c r="E1" t="s">
        <v>39</v>
      </c>
      <c r="F1" t="s">
        <v>37</v>
      </c>
      <c r="G1" t="s">
        <v>42</v>
      </c>
      <c r="H1" t="s">
        <v>57</v>
      </c>
      <c r="I1" t="s">
        <v>45</v>
      </c>
      <c r="J1" t="s">
        <v>43</v>
      </c>
      <c r="K1" t="s">
        <v>46</v>
      </c>
      <c r="L1" t="s">
        <v>44</v>
      </c>
      <c r="M1" t="s">
        <v>56</v>
      </c>
      <c r="N1" t="s">
        <v>54</v>
      </c>
    </row>
    <row r="2" spans="1:14" x14ac:dyDescent="0.45">
      <c r="A2" t="s">
        <v>16</v>
      </c>
      <c r="B2" s="1"/>
      <c r="C2" s="1"/>
      <c r="D2" s="1"/>
      <c r="E2" s="1"/>
      <c r="F2" s="1"/>
      <c r="G2" s="6">
        <f>9+42/60</f>
        <v>9.6999999999999993</v>
      </c>
      <c r="H2" s="3"/>
      <c r="I2" s="1"/>
      <c r="J2" s="1"/>
      <c r="K2" s="1"/>
      <c r="L2" s="1"/>
      <c r="M2" s="1"/>
      <c r="N2" s="2"/>
    </row>
    <row r="3" spans="1:14" x14ac:dyDescent="0.45">
      <c r="A3" t="s">
        <v>17</v>
      </c>
      <c r="B3" s="1"/>
      <c r="C3" s="1"/>
      <c r="D3" s="1"/>
      <c r="E3" s="1"/>
      <c r="F3" s="1"/>
      <c r="G3" s="6"/>
      <c r="H3" s="3"/>
      <c r="I3" s="1"/>
      <c r="J3" s="1"/>
      <c r="K3" s="1"/>
      <c r="L3" s="1"/>
      <c r="M3" s="1"/>
      <c r="N3" s="2"/>
    </row>
    <row r="4" spans="1:14" x14ac:dyDescent="0.45">
      <c r="A4" t="s">
        <v>18</v>
      </c>
      <c r="B4" s="1"/>
      <c r="C4" s="1"/>
      <c r="D4" s="1"/>
      <c r="E4" s="1"/>
      <c r="F4" s="1"/>
      <c r="G4" s="6"/>
      <c r="H4" s="3"/>
      <c r="I4" s="1"/>
      <c r="J4" s="1"/>
      <c r="K4" s="1"/>
      <c r="L4" s="1"/>
      <c r="M4" s="1"/>
      <c r="N4" s="2"/>
    </row>
    <row r="5" spans="1:14" x14ac:dyDescent="0.45">
      <c r="A5" t="s">
        <v>20</v>
      </c>
      <c r="B5" s="1"/>
      <c r="C5" s="1"/>
      <c r="D5" s="1"/>
      <c r="E5" s="1"/>
      <c r="F5" s="1"/>
      <c r="G5" s="6"/>
      <c r="H5" s="3"/>
      <c r="I5" s="1"/>
      <c r="J5" s="1"/>
      <c r="K5" s="1"/>
      <c r="L5" s="1"/>
      <c r="M5" s="1"/>
      <c r="N5" s="2"/>
    </row>
    <row r="6" spans="1:14" x14ac:dyDescent="0.45">
      <c r="A6" t="s">
        <v>19</v>
      </c>
      <c r="B6" s="1"/>
      <c r="C6" s="1"/>
      <c r="D6" s="1"/>
      <c r="E6" s="1"/>
      <c r="F6" s="1"/>
      <c r="G6" s="6"/>
      <c r="H6" s="3"/>
      <c r="I6" s="1"/>
      <c r="J6" s="1"/>
      <c r="K6" s="1"/>
      <c r="L6" s="1"/>
      <c r="M6" s="1"/>
      <c r="N6" s="2"/>
    </row>
    <row r="7" spans="1:14" x14ac:dyDescent="0.45">
      <c r="A7" t="s">
        <v>21</v>
      </c>
      <c r="B7" s="1"/>
      <c r="C7" s="1"/>
      <c r="D7" s="1"/>
      <c r="E7" s="1"/>
      <c r="F7" s="1"/>
      <c r="G7" s="6"/>
      <c r="H7" s="3"/>
      <c r="I7" s="1"/>
      <c r="J7" s="1"/>
      <c r="K7" s="1"/>
      <c r="L7" s="1"/>
      <c r="M7" s="1"/>
      <c r="N7" s="2"/>
    </row>
    <row r="8" spans="1:14" x14ac:dyDescent="0.45">
      <c r="A8" t="s">
        <v>22</v>
      </c>
      <c r="B8" s="1"/>
      <c r="C8" s="1">
        <f>6+27/60</f>
        <v>6.45</v>
      </c>
      <c r="D8" s="1"/>
      <c r="E8" s="1"/>
      <c r="F8" s="1"/>
      <c r="G8" s="6"/>
      <c r="H8" s="3"/>
      <c r="I8" s="1"/>
      <c r="J8" s="1"/>
      <c r="K8" s="1"/>
      <c r="L8" s="1"/>
      <c r="M8" s="1"/>
      <c r="N8" s="2"/>
    </row>
    <row r="9" spans="1:14" x14ac:dyDescent="0.45">
      <c r="A9" t="s">
        <v>23</v>
      </c>
      <c r="B9" s="1"/>
      <c r="C9" s="1"/>
      <c r="D9" s="1"/>
      <c r="E9" s="1"/>
      <c r="F9" s="1"/>
      <c r="G9" s="6"/>
      <c r="H9" s="3"/>
      <c r="I9" s="1"/>
      <c r="J9" s="1"/>
      <c r="K9" s="1"/>
      <c r="L9" s="1"/>
      <c r="M9" s="1"/>
      <c r="N9" s="2"/>
    </row>
    <row r="10" spans="1:14" x14ac:dyDescent="0.45">
      <c r="A10" t="s">
        <v>24</v>
      </c>
      <c r="B10" s="1"/>
      <c r="C10" s="1"/>
      <c r="D10" s="1"/>
      <c r="E10" s="1"/>
      <c r="F10" s="1"/>
      <c r="G10" s="6"/>
      <c r="H10" s="3"/>
      <c r="I10" s="1"/>
      <c r="J10" s="1"/>
      <c r="K10" s="1"/>
      <c r="L10" s="1"/>
      <c r="M10" s="1"/>
      <c r="N10" s="2"/>
    </row>
    <row r="11" spans="1:14" x14ac:dyDescent="0.45">
      <c r="A11" t="s">
        <v>25</v>
      </c>
      <c r="B11" s="1"/>
      <c r="C11" s="1"/>
      <c r="D11" s="1"/>
      <c r="E11" s="1"/>
      <c r="F11" s="1"/>
      <c r="G11" s="6"/>
      <c r="H11" s="3"/>
      <c r="I11" s="1">
        <f>11+31/60</f>
        <v>11.516666666666667</v>
      </c>
      <c r="J11" s="1"/>
      <c r="K11" s="1">
        <f>25+34/60</f>
        <v>25.566666666666666</v>
      </c>
      <c r="L11" s="1"/>
      <c r="M11" s="1"/>
      <c r="N11" s="2"/>
    </row>
    <row r="12" spans="1:14" x14ac:dyDescent="0.45">
      <c r="A12" t="s">
        <v>26</v>
      </c>
      <c r="B12" s="1"/>
      <c r="C12" s="1"/>
      <c r="D12" s="1"/>
      <c r="E12" s="1"/>
      <c r="F12" s="1"/>
      <c r="G12" s="6"/>
      <c r="H12" s="3"/>
      <c r="I12" s="1"/>
      <c r="J12" s="1"/>
      <c r="K12" s="1"/>
      <c r="L12" s="1"/>
      <c r="M12" s="1"/>
      <c r="N12" s="2"/>
    </row>
    <row r="13" spans="1:14" x14ac:dyDescent="0.45">
      <c r="A13" t="s">
        <v>27</v>
      </c>
      <c r="B13" s="1"/>
      <c r="C13" s="1"/>
      <c r="D13" s="1"/>
      <c r="E13" s="1"/>
      <c r="F13" s="1"/>
      <c r="G13" s="6"/>
      <c r="H13" s="3"/>
      <c r="I13" s="1"/>
      <c r="J13" s="1"/>
      <c r="K13" s="1"/>
      <c r="L13" s="1"/>
      <c r="M13" s="1"/>
      <c r="N13" s="2"/>
    </row>
    <row r="14" spans="1:14" x14ac:dyDescent="0.45">
      <c r="A14" t="s">
        <v>28</v>
      </c>
      <c r="B14" s="1"/>
      <c r="C14" s="1"/>
      <c r="D14" s="1"/>
      <c r="E14" s="1"/>
      <c r="F14" s="1"/>
      <c r="G14" s="6"/>
      <c r="H14" s="3"/>
      <c r="I14" s="1"/>
      <c r="J14" s="1"/>
      <c r="K14" s="1"/>
      <c r="L14" s="1"/>
      <c r="M14" s="1"/>
      <c r="N14" s="2"/>
    </row>
    <row r="15" spans="1:14" x14ac:dyDescent="0.45">
      <c r="A15" t="s">
        <v>29</v>
      </c>
      <c r="B15" s="1"/>
      <c r="C15" s="1"/>
      <c r="D15" s="1"/>
      <c r="E15" s="1"/>
      <c r="F15" s="1"/>
      <c r="G15" s="6"/>
      <c r="H15" s="3"/>
      <c r="I15" s="1"/>
      <c r="J15" s="1"/>
      <c r="K15" s="1"/>
      <c r="L15" s="1"/>
      <c r="M15" s="1"/>
      <c r="N15" s="2"/>
    </row>
    <row r="16" spans="1:14" x14ac:dyDescent="0.45">
      <c r="A16" t="s">
        <v>30</v>
      </c>
      <c r="B16" s="1"/>
      <c r="C16" s="1"/>
      <c r="D16" s="1"/>
      <c r="E16" s="1"/>
      <c r="F16" s="1"/>
      <c r="G16" s="6"/>
      <c r="H16" s="3"/>
      <c r="I16" s="1"/>
      <c r="J16" s="1"/>
      <c r="K16" s="1"/>
      <c r="L16" s="1"/>
      <c r="M16" s="1"/>
      <c r="N16" s="2"/>
    </row>
    <row r="17" spans="1:14" x14ac:dyDescent="0.45">
      <c r="A17" t="s">
        <v>31</v>
      </c>
      <c r="B17" s="1"/>
      <c r="C17" s="1"/>
      <c r="D17" s="1"/>
      <c r="E17" s="1"/>
      <c r="F17" s="1"/>
      <c r="G17" s="6"/>
      <c r="H17" s="3"/>
      <c r="I17" s="1"/>
      <c r="J17" s="1"/>
      <c r="K17" s="1"/>
      <c r="L17" s="1"/>
      <c r="M17" s="1"/>
      <c r="N17" s="2"/>
    </row>
    <row r="18" spans="1:14" x14ac:dyDescent="0.45">
      <c r="A18" t="s">
        <v>32</v>
      </c>
      <c r="B18" s="1">
        <f>10+21/60</f>
        <v>10.35</v>
      </c>
      <c r="C18" s="1"/>
      <c r="D18" s="1">
        <f>5+46/60</f>
        <v>5.7666666666666666</v>
      </c>
      <c r="E18" s="1">
        <f>11+3/60</f>
        <v>11.05</v>
      </c>
      <c r="F18" s="1"/>
      <c r="G18" s="6"/>
      <c r="H18" s="3"/>
      <c r="I18" s="1"/>
      <c r="J18" s="1">
        <f>16+46/60</f>
        <v>16.766666666666666</v>
      </c>
      <c r="K18" s="1"/>
      <c r="L18" s="1">
        <f>42+21/60</f>
        <v>42.35</v>
      </c>
      <c r="M18" s="1"/>
      <c r="N18" s="2"/>
    </row>
    <row r="19" spans="1:14" x14ac:dyDescent="0.45">
      <c r="A19" t="s">
        <v>33</v>
      </c>
      <c r="B19" s="1"/>
      <c r="C19" s="1"/>
      <c r="D19" s="1"/>
      <c r="E19" s="1"/>
      <c r="F19" s="1"/>
      <c r="G19" s="6"/>
      <c r="H19" s="3"/>
      <c r="I19" s="1"/>
      <c r="J19" s="1"/>
      <c r="K19" s="1"/>
      <c r="L19" s="1"/>
      <c r="M19" s="1"/>
      <c r="N19" s="2"/>
    </row>
    <row r="20" spans="1:14" x14ac:dyDescent="0.45">
      <c r="A20" t="s">
        <v>34</v>
      </c>
      <c r="B20" s="1"/>
      <c r="C20" s="1"/>
      <c r="D20" s="1"/>
      <c r="E20" s="1"/>
      <c r="F20" s="1"/>
      <c r="G20" s="6"/>
      <c r="H20" s="3"/>
      <c r="I20" s="1"/>
      <c r="J20" s="1"/>
      <c r="K20" s="1"/>
      <c r="L20" s="1"/>
      <c r="M20" s="1"/>
      <c r="N20" s="2"/>
    </row>
  </sheetData>
  <mergeCells count="1">
    <mergeCell ref="G2:G20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804EC-A57B-47CC-85AF-7787A14CB8D4}">
  <dimension ref="A1:I10"/>
  <sheetViews>
    <sheetView zoomScaleNormal="100" workbookViewId="0">
      <selection activeCell="I7" sqref="I7"/>
    </sheetView>
  </sheetViews>
  <sheetFormatPr defaultRowHeight="18" x14ac:dyDescent="0.45"/>
  <cols>
    <col min="1" max="1" width="18.19921875" customWidth="1"/>
    <col min="2" max="2" width="7.296875" customWidth="1"/>
    <col min="3" max="3" width="18.19921875" customWidth="1"/>
    <col min="4" max="4" width="7.296875" customWidth="1"/>
  </cols>
  <sheetData>
    <row r="1" spans="1:9" x14ac:dyDescent="0.45">
      <c r="A1" t="s">
        <v>0</v>
      </c>
      <c r="B1" s="1">
        <f>ROUNDUP(G1,2)</f>
        <v>9.75</v>
      </c>
      <c r="C1" t="s">
        <v>9</v>
      </c>
      <c r="D1" s="1">
        <f>ROUNDUP(I1,2)</f>
        <v>7.6899999999999995</v>
      </c>
      <c r="F1" t="s">
        <v>0</v>
      </c>
      <c r="G1" s="1">
        <f>9+45/60</f>
        <v>9.75</v>
      </c>
      <c r="H1" t="s">
        <v>9</v>
      </c>
      <c r="I1" s="1">
        <f>7+41/60</f>
        <v>7.6833333333333336</v>
      </c>
    </row>
    <row r="2" spans="1:9" x14ac:dyDescent="0.45">
      <c r="A2" t="s">
        <v>1</v>
      </c>
      <c r="B2" s="1">
        <f t="shared" ref="B2:D10" si="0">ROUNDUP(G2,2)</f>
        <v>8.84</v>
      </c>
      <c r="C2" t="s">
        <v>10</v>
      </c>
      <c r="D2" s="1">
        <f t="shared" si="0"/>
        <v>10.39</v>
      </c>
      <c r="F2" t="s">
        <v>1</v>
      </c>
      <c r="G2" s="1">
        <f>8+50/60</f>
        <v>8.8333333333333339</v>
      </c>
      <c r="H2" t="s">
        <v>10</v>
      </c>
      <c r="I2" s="1">
        <f>10+23/60</f>
        <v>10.383333333333333</v>
      </c>
    </row>
    <row r="3" spans="1:9" x14ac:dyDescent="0.45">
      <c r="A3" t="s">
        <v>2</v>
      </c>
      <c r="B3" s="1">
        <f t="shared" si="0"/>
        <v>6.12</v>
      </c>
      <c r="C3" t="s">
        <v>11</v>
      </c>
      <c r="D3" s="1">
        <f t="shared" si="0"/>
        <v>24.65</v>
      </c>
      <c r="F3" t="s">
        <v>2</v>
      </c>
      <c r="G3" s="1">
        <f>6+7/60</f>
        <v>6.1166666666666663</v>
      </c>
      <c r="H3" t="s">
        <v>11</v>
      </c>
      <c r="I3" s="1">
        <f>24+39/60</f>
        <v>24.65</v>
      </c>
    </row>
    <row r="4" spans="1:9" x14ac:dyDescent="0.45">
      <c r="A4" t="s">
        <v>3</v>
      </c>
      <c r="B4" s="1">
        <f t="shared" si="0"/>
        <v>11.12</v>
      </c>
      <c r="C4" t="s">
        <v>12</v>
      </c>
      <c r="D4" s="1">
        <f t="shared" si="0"/>
        <v>14.69</v>
      </c>
      <c r="F4" t="s">
        <v>3</v>
      </c>
      <c r="G4" s="1">
        <f>11+7/60</f>
        <v>11.116666666666667</v>
      </c>
      <c r="H4" t="s">
        <v>12</v>
      </c>
      <c r="I4" s="1">
        <f>14+41/60</f>
        <v>14.683333333333334</v>
      </c>
    </row>
    <row r="5" spans="1:9" x14ac:dyDescent="0.45">
      <c r="A5" t="s">
        <v>4</v>
      </c>
      <c r="B5" s="1">
        <f t="shared" si="0"/>
        <v>7.87</v>
      </c>
      <c r="C5" t="s">
        <v>15</v>
      </c>
      <c r="D5" s="1">
        <f t="shared" si="0"/>
        <v>26.64</v>
      </c>
      <c r="F5" t="s">
        <v>4</v>
      </c>
      <c r="G5" s="1">
        <f>7+52/60</f>
        <v>7.8666666666666671</v>
      </c>
      <c r="H5" t="s">
        <v>15</v>
      </c>
      <c r="I5" s="1">
        <f>26+38/60</f>
        <v>26.633333333333333</v>
      </c>
    </row>
    <row r="6" spans="1:9" x14ac:dyDescent="0.45">
      <c r="A6" t="s">
        <v>5</v>
      </c>
      <c r="B6" s="1">
        <f t="shared" si="0"/>
        <v>10.7</v>
      </c>
      <c r="C6" t="s">
        <v>13</v>
      </c>
      <c r="D6" s="1">
        <f t="shared" si="0"/>
        <v>5.09</v>
      </c>
      <c r="F6" t="s">
        <v>5</v>
      </c>
      <c r="G6" s="1">
        <f>10+42/60</f>
        <v>10.7</v>
      </c>
      <c r="H6" t="s">
        <v>13</v>
      </c>
      <c r="I6" s="1">
        <f>5+5/60</f>
        <v>5.083333333333333</v>
      </c>
    </row>
    <row r="7" spans="1:9" x14ac:dyDescent="0.45">
      <c r="A7" t="s">
        <v>53</v>
      </c>
      <c r="B7" s="1">
        <f t="shared" si="0"/>
        <v>15.94</v>
      </c>
      <c r="C7" t="s">
        <v>59</v>
      </c>
      <c r="D7" s="1">
        <f t="shared" si="0"/>
        <v>17.970000000000002</v>
      </c>
      <c r="F7" t="s">
        <v>53</v>
      </c>
      <c r="G7" s="1">
        <f>15+56/60</f>
        <v>15.933333333333334</v>
      </c>
      <c r="H7" t="s">
        <v>36</v>
      </c>
      <c r="I7" s="1">
        <f>17+58/60</f>
        <v>17.966666666666665</v>
      </c>
    </row>
    <row r="8" spans="1:9" x14ac:dyDescent="0.45">
      <c r="A8" t="s">
        <v>6</v>
      </c>
      <c r="B8" s="1">
        <f t="shared" si="0"/>
        <v>40.700000000000003</v>
      </c>
      <c r="C8" t="s">
        <v>60</v>
      </c>
      <c r="D8" s="1">
        <f>ROUNDUP(I8,2)</f>
        <v>15.09</v>
      </c>
      <c r="F8" t="s">
        <v>6</v>
      </c>
      <c r="G8" s="1">
        <f>40+42/60</f>
        <v>40.700000000000003</v>
      </c>
      <c r="H8" t="s">
        <v>35</v>
      </c>
      <c r="I8" s="1">
        <f>15+5/60</f>
        <v>15.083333333333334</v>
      </c>
    </row>
    <row r="9" spans="1:9" x14ac:dyDescent="0.45">
      <c r="A9" t="s">
        <v>7</v>
      </c>
      <c r="B9" s="1">
        <f t="shared" si="0"/>
        <v>13.29</v>
      </c>
      <c r="C9" t="s">
        <v>14</v>
      </c>
      <c r="D9" s="1">
        <f t="shared" si="0"/>
        <v>19.540000000000003</v>
      </c>
      <c r="F9" t="s">
        <v>7</v>
      </c>
      <c r="G9" s="1">
        <f>13+17/60</f>
        <v>13.283333333333333</v>
      </c>
      <c r="H9" t="s">
        <v>14</v>
      </c>
      <c r="I9" s="1">
        <f>19+32/60</f>
        <v>19.533333333333335</v>
      </c>
    </row>
    <row r="10" spans="1:9" x14ac:dyDescent="0.45">
      <c r="A10" t="s">
        <v>8</v>
      </c>
      <c r="B10" s="1">
        <f t="shared" si="0"/>
        <v>18.05</v>
      </c>
      <c r="C10" t="s">
        <v>52</v>
      </c>
      <c r="D10" s="4">
        <f>ROUNDUP(I10,2)/86400</f>
        <v>3.2876157407407407E-3</v>
      </c>
      <c r="F10" t="s">
        <v>8</v>
      </c>
      <c r="G10" s="1">
        <f>18+3/60</f>
        <v>18.05</v>
      </c>
      <c r="H10" t="s">
        <v>52</v>
      </c>
      <c r="I10" s="1">
        <f>SUM(G1:G10,I1:I9)</f>
        <v>284.05000000000007</v>
      </c>
    </row>
  </sheetData>
  <phoneticPr fontId="1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F4A6C-AC46-485F-9C52-9C4D911EF769}">
  <dimension ref="A1:D11"/>
  <sheetViews>
    <sheetView zoomScaleNormal="100" workbookViewId="0">
      <selection activeCell="A22" sqref="A22"/>
    </sheetView>
  </sheetViews>
  <sheetFormatPr defaultRowHeight="18" x14ac:dyDescent="0.45"/>
  <cols>
    <col min="1" max="1" width="24.69921875" bestFit="1" customWidth="1"/>
    <col min="2" max="2" width="7.3984375" bestFit="1" customWidth="1"/>
    <col min="3" max="3" width="19.09765625" customWidth="1"/>
    <col min="4" max="4" width="8.796875" customWidth="1"/>
  </cols>
  <sheetData>
    <row r="1" spans="1:4" x14ac:dyDescent="0.45">
      <c r="A1" t="s">
        <v>41</v>
      </c>
      <c r="B1" s="1">
        <f t="shared" ref="B1:B10" si="0">ROUNDUP(D1,2)</f>
        <v>11.4</v>
      </c>
      <c r="D1" s="1">
        <f>11+24/60</f>
        <v>11.4</v>
      </c>
    </row>
    <row r="2" spans="1:4" x14ac:dyDescent="0.45">
      <c r="A2" t="s">
        <v>38</v>
      </c>
      <c r="B2" s="1">
        <f t="shared" si="0"/>
        <v>8.92</v>
      </c>
      <c r="D2" s="1">
        <f>8+55/60</f>
        <v>8.9166666666666661</v>
      </c>
    </row>
    <row r="3" spans="1:4" x14ac:dyDescent="0.45">
      <c r="A3" t="s">
        <v>40</v>
      </c>
      <c r="B3" s="1">
        <f t="shared" si="0"/>
        <v>6.99</v>
      </c>
      <c r="D3" s="1">
        <f>6+59/60</f>
        <v>6.9833333333333334</v>
      </c>
    </row>
    <row r="4" spans="1:4" x14ac:dyDescent="0.45">
      <c r="A4" t="s">
        <v>39</v>
      </c>
      <c r="B4" s="1">
        <f t="shared" si="0"/>
        <v>12.69</v>
      </c>
      <c r="D4" s="1">
        <f>12+41/60</f>
        <v>12.683333333333334</v>
      </c>
    </row>
    <row r="5" spans="1:4" x14ac:dyDescent="0.45">
      <c r="A5" t="s">
        <v>37</v>
      </c>
      <c r="B5" s="1">
        <f t="shared" si="0"/>
        <v>24.65</v>
      </c>
      <c r="D5" s="1">
        <f>24+39/60</f>
        <v>24.65</v>
      </c>
    </row>
    <row r="6" spans="1:4" x14ac:dyDescent="0.45">
      <c r="A6" t="s">
        <v>42</v>
      </c>
      <c r="B6" s="1">
        <f t="shared" si="0"/>
        <v>10.47</v>
      </c>
      <c r="D6" s="1">
        <f>10+28/60</f>
        <v>10.466666666666667</v>
      </c>
    </row>
    <row r="7" spans="1:4" x14ac:dyDescent="0.45">
      <c r="A7" t="s">
        <v>45</v>
      </c>
      <c r="B7" s="1">
        <f t="shared" si="0"/>
        <v>15.15</v>
      </c>
      <c r="D7" s="1">
        <f>15+9/60</f>
        <v>15.15</v>
      </c>
    </row>
    <row r="8" spans="1:4" x14ac:dyDescent="0.45">
      <c r="A8" t="s">
        <v>43</v>
      </c>
      <c r="B8" s="1">
        <f t="shared" si="0"/>
        <v>23.25</v>
      </c>
      <c r="D8" s="1">
        <f>23+15/60</f>
        <v>23.25</v>
      </c>
    </row>
    <row r="9" spans="1:4" x14ac:dyDescent="0.45">
      <c r="A9" t="s">
        <v>46</v>
      </c>
      <c r="B9" s="1">
        <f t="shared" si="0"/>
        <v>32.739999999999995</v>
      </c>
      <c r="D9" s="1">
        <f>32+44/60</f>
        <v>32.733333333333334</v>
      </c>
    </row>
    <row r="10" spans="1:4" x14ac:dyDescent="0.45">
      <c r="A10" t="s">
        <v>44</v>
      </c>
      <c r="B10" s="1">
        <f t="shared" si="0"/>
        <v>58.269999999999996</v>
      </c>
      <c r="D10" s="1">
        <f>58+16/60</f>
        <v>58.266666666666666</v>
      </c>
    </row>
    <row r="11" spans="1:4" x14ac:dyDescent="0.45">
      <c r="A11" t="s">
        <v>51</v>
      </c>
      <c r="B11" s="4">
        <f>ROUNDUP(D11,2)/86400</f>
        <v>2.3668981481481484E-3</v>
      </c>
      <c r="D11" s="1">
        <f>SUM(D1:D10)</f>
        <v>204.5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通格(実機)</vt:lpstr>
      <vt:lpstr>通格(TAS)</vt:lpstr>
      <vt:lpstr>真格(実機)</vt:lpstr>
      <vt:lpstr>真格(TAS)</vt:lpstr>
      <vt:lpstr>通格(配信用)</vt:lpstr>
      <vt:lpstr>真格(配信用)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奥山竜司</dc:creator>
  <cp:lastModifiedBy>17 Clomy</cp:lastModifiedBy>
  <dcterms:created xsi:type="dcterms:W3CDTF">2021-03-27T06:42:18Z</dcterms:created>
  <dcterms:modified xsi:type="dcterms:W3CDTF">2025-04-22T08:46:08Z</dcterms:modified>
</cp:coreProperties>
</file>