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31340d65cbebb2/ドキュメント/"/>
    </mc:Choice>
  </mc:AlternateContent>
  <xr:revisionPtr revIDLastSave="20" documentId="13_ncr:1_{0901875B-011A-41D6-809C-8618AB890B47}" xr6:coauthVersionLast="47" xr6:coauthVersionMax="47" xr10:uidLastSave="{F163BE62-0B7B-4766-8624-99E67E4294C2}"/>
  <bookViews>
    <workbookView xWindow="7860" yWindow="0" windowWidth="15180" windowHeight="12360" xr2:uid="{54A3EDF1-6D0B-4EB7-9AB9-3D1484933925}"/>
  </bookViews>
  <sheets>
    <sheet name="バトルウィンドウズ" sheetId="1" r:id="rId1"/>
    <sheet name="メタナイトの逆襲" sheetId="2" r:id="rId2"/>
    <sheet name="大王の逆襲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  <c r="D120" i="2"/>
  <c r="D66" i="2"/>
  <c r="D29" i="3"/>
  <c r="D26" i="3"/>
  <c r="D47" i="3"/>
  <c r="D45" i="3"/>
  <c r="D43" i="3"/>
  <c r="D41" i="3"/>
  <c r="D39" i="3"/>
  <c r="D37" i="3"/>
  <c r="D36" i="3"/>
  <c r="D34" i="3"/>
  <c r="D33" i="3"/>
  <c r="D31" i="3"/>
  <c r="D28" i="3"/>
  <c r="D24" i="3"/>
  <c r="D22" i="3"/>
  <c r="D20" i="3"/>
  <c r="D18" i="3"/>
  <c r="D16" i="3"/>
  <c r="D14" i="3"/>
  <c r="D12" i="3"/>
  <c r="D9" i="3"/>
  <c r="D7" i="3"/>
  <c r="D5" i="3"/>
  <c r="D2" i="3"/>
  <c r="D146" i="2"/>
  <c r="D144" i="2"/>
  <c r="D142" i="2"/>
  <c r="D140" i="2"/>
  <c r="D138" i="2"/>
  <c r="D137" i="2"/>
  <c r="D135" i="2"/>
  <c r="D132" i="2"/>
  <c r="D133" i="2"/>
  <c r="D130" i="2"/>
  <c r="D128" i="2"/>
  <c r="D125" i="2"/>
  <c r="D123" i="2"/>
  <c r="D122" i="2"/>
  <c r="D118" i="2"/>
  <c r="D116" i="2"/>
  <c r="D114" i="2"/>
  <c r="D112" i="2"/>
  <c r="D111" i="2"/>
  <c r="D110" i="2"/>
  <c r="D109" i="2"/>
  <c r="D108" i="2"/>
  <c r="D106" i="2"/>
  <c r="D105" i="2"/>
  <c r="D103" i="2"/>
  <c r="D102" i="2"/>
  <c r="D100" i="2"/>
  <c r="D98" i="2"/>
  <c r="D95" i="2"/>
  <c r="D93" i="2"/>
  <c r="D91" i="2"/>
  <c r="D90" i="2"/>
  <c r="D89" i="2"/>
  <c r="D87" i="2"/>
  <c r="D85" i="2"/>
  <c r="D83" i="2"/>
  <c r="D81" i="2"/>
  <c r="D79" i="2"/>
  <c r="D78" i="2"/>
  <c r="D76" i="2"/>
  <c r="D73" i="2"/>
  <c r="D71" i="2"/>
  <c r="D69" i="2"/>
  <c r="D65" i="2"/>
  <c r="D63" i="2"/>
  <c r="D61" i="2"/>
  <c r="D59" i="2"/>
  <c r="D57" i="2"/>
  <c r="D53" i="2"/>
  <c r="D56" i="2"/>
  <c r="D54" i="2"/>
  <c r="D51" i="2"/>
  <c r="D49" i="2"/>
  <c r="D47" i="2"/>
  <c r="D45" i="2"/>
  <c r="D43" i="2"/>
  <c r="D41" i="2"/>
  <c r="D39" i="2"/>
  <c r="D36" i="2"/>
  <c r="D34" i="2"/>
  <c r="D32" i="2"/>
  <c r="D30" i="2"/>
  <c r="D20" i="2"/>
  <c r="D18" i="2"/>
  <c r="D16" i="2"/>
  <c r="D14" i="2"/>
  <c r="D12" i="2"/>
  <c r="D10" i="2"/>
  <c r="D8" i="2"/>
  <c r="D6" i="2"/>
  <c r="D4" i="2"/>
  <c r="D26" i="2"/>
  <c r="D24" i="2"/>
  <c r="D22" i="2"/>
  <c r="D28" i="2"/>
  <c r="D2" i="2"/>
  <c r="C27" i="1"/>
  <c r="C33" i="1"/>
  <c r="C32" i="1"/>
  <c r="C31" i="1"/>
  <c r="C30" i="1"/>
  <c r="C29" i="1"/>
  <c r="C24" i="1"/>
  <c r="C34" i="1"/>
  <c r="C28" i="1"/>
  <c r="C25" i="1"/>
  <c r="C26" i="1"/>
  <c r="C43" i="1"/>
  <c r="C3" i="1"/>
  <c r="C4" i="1"/>
  <c r="C5" i="1"/>
  <c r="C2" i="1"/>
  <c r="C42" i="1"/>
  <c r="D44" i="2"/>
  <c r="C40" i="1"/>
  <c r="C71" i="1"/>
  <c r="C46" i="1"/>
  <c r="C39" i="1"/>
  <c r="C38" i="1"/>
  <c r="C22" i="1"/>
  <c r="C21" i="1"/>
  <c r="C20" i="1"/>
  <c r="C19" i="1"/>
  <c r="C18" i="1"/>
  <c r="C17" i="1"/>
  <c r="C16" i="1"/>
  <c r="C15" i="1"/>
  <c r="C14" i="1"/>
  <c r="C13" i="1"/>
  <c r="C12" i="1"/>
  <c r="C11" i="1"/>
  <c r="C9" i="1"/>
  <c r="C8" i="1"/>
  <c r="C7" i="1"/>
  <c r="C55" i="1" s="1"/>
  <c r="C6" i="1"/>
  <c r="C44" i="1"/>
  <c r="C36" i="1" l="1"/>
  <c r="C64" i="1" s="1"/>
  <c r="C65" i="1" s="1"/>
  <c r="C58" i="1"/>
  <c r="C59" i="1" s="1"/>
  <c r="D49" i="3"/>
  <c r="D50" i="3" s="1"/>
  <c r="D147" i="2"/>
  <c r="D127" i="2"/>
  <c r="D97" i="2"/>
  <c r="D75" i="2"/>
  <c r="D68" i="2"/>
  <c r="D38" i="2"/>
  <c r="D29" i="2"/>
  <c r="C56" i="1"/>
  <c r="C23" i="1"/>
  <c r="C49" i="1" s="1"/>
  <c r="C61" i="1" l="1"/>
  <c r="C62" i="1" s="1"/>
  <c r="C52" i="1"/>
  <c r="C53" i="1" s="1"/>
  <c r="D149" i="2"/>
  <c r="D150" i="2" s="1"/>
  <c r="C50" i="1"/>
</calcChain>
</file>

<file path=xl/sharedStrings.xml><?xml version="1.0" encoding="utf-8"?>
<sst xmlns="http://schemas.openxmlformats.org/spreadsheetml/2006/main" count="718" uniqueCount="659">
  <si>
    <t>슬라임</t>
  </si>
  <si>
    <t>スライム</t>
  </si>
  <si>
    <t>おどりにんぎょう</t>
  </si>
  <si>
    <t>まほうつかい</t>
  </si>
  <si>
    <t>이/가 나타났다!</t>
  </si>
  <si>
    <t>が、あらわれた!</t>
  </si>
  <si>
    <t>을/를 물리쳤다!</t>
  </si>
  <si>
    <t>を、やっつけた!</t>
  </si>
  <si>
    <t>꼭두각시</t>
    <phoneticPr fontId="1"/>
  </si>
  <si>
    <t>마법사</t>
    <phoneticPr fontId="1"/>
  </si>
  <si>
    <t>が、</t>
    <phoneticPr fontId="1"/>
  </si>
  <si>
    <t>획득했다! (아무 의미 없다)</t>
    <phoneticPr fontId="1"/>
  </si>
  <si>
    <t>이/가</t>
    <phoneticPr fontId="1"/>
  </si>
  <si>
    <t>ゆうき</t>
    <phoneticPr fontId="1"/>
  </si>
  <si>
    <t>めのいろつや</t>
    <phoneticPr fontId="1"/>
  </si>
  <si>
    <t>はだざわり</t>
    <phoneticPr fontId="1"/>
  </si>
  <si>
    <t>やわらかさ</t>
    <phoneticPr fontId="1"/>
  </si>
  <si>
    <t>やさしさ</t>
    <phoneticPr fontId="1"/>
  </si>
  <si>
    <t>ヒーローっぽさ</t>
    <phoneticPr fontId="1"/>
  </si>
  <si>
    <t>からだのまるさ</t>
    <phoneticPr fontId="1"/>
  </si>
  <si>
    <t>プププ</t>
    <phoneticPr fontId="1"/>
  </si>
  <si>
    <t>おとなっぽさ</t>
    <phoneticPr fontId="1"/>
  </si>
  <si>
    <t>まごころ</t>
    <phoneticPr fontId="1"/>
  </si>
  <si>
    <t>きあい</t>
    <phoneticPr fontId="1"/>
  </si>
  <si>
    <t>의욕</t>
    <phoneticPr fontId="1"/>
  </si>
  <si>
    <t>푸푸푸</t>
    <phoneticPr fontId="1"/>
  </si>
  <si>
    <t>어른스러움</t>
    <phoneticPr fontId="1"/>
  </si>
  <si>
    <t>부드러움</t>
    <phoneticPr fontId="1"/>
  </si>
  <si>
    <t>동글동글한 몸매</t>
    <phoneticPr fontId="1"/>
  </si>
  <si>
    <t>용기</t>
    <phoneticPr fontId="1"/>
  </si>
  <si>
    <t>착한 마음</t>
    <phoneticPr fontId="1"/>
  </si>
  <si>
    <t>초롱초롱한 눈빛</t>
  </si>
  <si>
    <t>악마의 기사</t>
    <phoneticPr fontId="1"/>
  </si>
  <si>
    <t>그랜드 드래곤</t>
    <phoneticPr fontId="1"/>
  </si>
  <si>
    <t>あくまのきし</t>
    <phoneticPr fontId="1"/>
  </si>
  <si>
    <t>グランドドラゴン</t>
    <phoneticPr fontId="1"/>
  </si>
  <si>
    <t>けいけんち</t>
    <phoneticPr fontId="1"/>
  </si>
  <si>
    <t>X포인트 올랐다!</t>
    <phoneticPr fontId="1"/>
  </si>
  <si>
    <t>平均(期待値) -18/11</t>
    <rPh sb="0" eb="2">
      <t>ヘイキン</t>
    </rPh>
    <rPh sb="3" eb="6">
      <t>キタイチ</t>
    </rPh>
    <phoneticPr fontId="1"/>
  </si>
  <si>
    <t>洞窟大作戦平均(期待値)</t>
    <rPh sb="0" eb="5">
      <t>ドウクツダイサクセン</t>
    </rPh>
    <rPh sb="5" eb="7">
      <t>ヘイキン</t>
    </rPh>
    <rPh sb="8" eb="11">
      <t>キタイチ</t>
    </rPh>
    <phoneticPr fontId="1"/>
  </si>
  <si>
    <t>銀河にねがいを平均(期待値)</t>
    <rPh sb="0" eb="2">
      <t>ギンガ</t>
    </rPh>
    <rPh sb="7" eb="9">
      <t>ヘイキン</t>
    </rPh>
    <rPh sb="10" eb="13">
      <t>キタイチ</t>
    </rPh>
    <phoneticPr fontId="1"/>
  </si>
  <si>
    <t>[魔法師]</t>
  </si>
  <si>
    <t>말랑말랑한 촉감</t>
    <phoneticPr fontId="1"/>
  </si>
  <si>
    <t>[英雄]</t>
  </si>
  <si>
    <t>진실된 마음</t>
    <phoneticPr fontId="1"/>
  </si>
  <si>
    <t>[眞實]</t>
  </si>
  <si>
    <t>[意慾]</t>
  </si>
  <si>
    <t>備考</t>
    <rPh sb="0" eb="2">
      <t>ビコウ</t>
    </rPh>
    <phoneticPr fontId="1"/>
  </si>
  <si>
    <t>差</t>
    <rPh sb="0" eb="1">
      <t>サ</t>
    </rPh>
    <phoneticPr fontId="1"/>
  </si>
  <si>
    <t>日本語</t>
    <rPh sb="0" eb="3">
      <t>ニホンゴ</t>
    </rPh>
    <phoneticPr fontId="1"/>
  </si>
  <si>
    <t>한국어</t>
    <phoneticPr fontId="1"/>
  </si>
  <si>
    <t>[經驗値]</t>
  </si>
  <si>
    <t>XXX의 경험치를</t>
    <phoneticPr fontId="1"/>
  </si>
  <si>
    <t>[攻擊]</t>
    <phoneticPr fontId="1"/>
  </si>
  <si>
    <t>　XXXポイントかくとく! (いみがない)</t>
    <phoneticPr fontId="1"/>
  </si>
  <si>
    <t>172+10/11</t>
    <phoneticPr fontId="1"/>
  </si>
  <si>
    <t>に、</t>
    <phoneticPr fontId="1"/>
  </si>
  <si>
    <t>　　　Xダメージをあたえた!</t>
    <phoneticPr fontId="1"/>
  </si>
  <si>
    <t>　　　Xポイントあがった!</t>
    <phoneticPr fontId="1"/>
  </si>
  <si>
    <t>X의 대미지를 입혔다!</t>
    <phoneticPr fontId="1"/>
  </si>
  <si>
    <t>에게</t>
    <phoneticPr fontId="1"/>
  </si>
  <si>
    <t>[防禦]</t>
    <phoneticPr fontId="1"/>
  </si>
  <si>
    <t>Chapter 1-1</t>
    <phoneticPr fontId="1"/>
  </si>
  <si>
    <t>Chapter 1-2</t>
    <phoneticPr fontId="1"/>
  </si>
  <si>
    <t>Chapter 1-3</t>
    <phoneticPr fontId="1"/>
  </si>
  <si>
    <t>Chapter 1-4</t>
    <phoneticPr fontId="1"/>
  </si>
  <si>
    <t>OK!</t>
    <phoneticPr fontId="1"/>
  </si>
  <si>
    <t>プププランドは制圧されるのだ!</t>
    <rPh sb="7" eb="9">
      <t>セイアツ</t>
    </rPh>
    <phoneticPr fontId="1"/>
  </si>
  <si>
    <t>Chapter 2-1</t>
    <phoneticPr fontId="1"/>
  </si>
  <si>
    <t>Chapter 3</t>
    <phoneticPr fontId="1"/>
  </si>
  <si>
    <t>Chapter 4-1</t>
    <phoneticPr fontId="1"/>
  </si>
  <si>
    <t>Chapter 4-2</t>
    <phoneticPr fontId="1"/>
  </si>
  <si>
    <t>Chapter 4-3</t>
    <phoneticPr fontId="1"/>
  </si>
  <si>
    <t>Chapter 4-4</t>
    <phoneticPr fontId="1"/>
  </si>
  <si>
    <t>Chapter 5-1</t>
    <phoneticPr fontId="1"/>
  </si>
  <si>
    <t>Chapter 5-3</t>
    <phoneticPr fontId="1"/>
  </si>
  <si>
    <t>Chapter 5-4</t>
    <phoneticPr fontId="1"/>
  </si>
  <si>
    <t>Chapter 5-6</t>
    <phoneticPr fontId="1"/>
  </si>
  <si>
    <t>Chapter 6-1</t>
    <phoneticPr fontId="1"/>
  </si>
  <si>
    <t>Chapter 6-2</t>
    <phoneticPr fontId="1"/>
  </si>
  <si>
    <t>Chapter 6-3</t>
    <phoneticPr fontId="1"/>
  </si>
  <si>
    <t>Chapter 6-4</t>
    <phoneticPr fontId="1"/>
  </si>
  <si>
    <t>Chapter 7-1</t>
    <phoneticPr fontId="1"/>
  </si>
  <si>
    <t>Chapter 7-3</t>
    <phoneticPr fontId="1"/>
  </si>
  <si>
    <t>Chapter 7-4</t>
    <phoneticPr fontId="1"/>
  </si>
  <si>
    <t>Chapter 7-5</t>
    <phoneticPr fontId="1"/>
  </si>
  <si>
    <t xml:space="preserve">  57+  7/11</t>
    <phoneticPr fontId="1"/>
  </si>
  <si>
    <t>대왕님!</t>
    <phoneticPr fontId="1"/>
  </si>
  <si>
    <t>카부라가 격추되고 말았습니다!</t>
    <phoneticPr fontId="1"/>
  </si>
  <si>
    <t>이제 어똫게 하죠?</t>
    <phoneticPr fontId="1"/>
  </si>
  <si>
    <t>커, 커, 커비가</t>
    <phoneticPr fontId="1"/>
  </si>
  <si>
    <t>진정하십시오, 대왕님!</t>
    <phoneticPr fontId="1"/>
  </si>
  <si>
    <t>침착하게 행동해야 함니닷!</t>
    <phoneticPr fontId="1"/>
  </si>
  <si>
    <t>좋아! 모두 잘 들어라!</t>
    <phoneticPr fontId="1"/>
  </si>
  <si>
    <t>커비 녀석에게 본때를 보여주자!</t>
    <phoneticPr fontId="1"/>
  </si>
  <si>
    <t>우선 녀석의 힘을 시험해 볼까?</t>
    <phoneticPr fontId="1"/>
  </si>
  <si>
    <t>내 충직한 신하여, 어서 가거라!</t>
    <phoneticPr fontId="1"/>
  </si>
  <si>
    <t>아앗, 대왕님!</t>
    <phoneticPr fontId="1"/>
  </si>
  <si>
    <t>뭣이라~? 하지만 다음 상대는</t>
    <phoneticPr fontId="1"/>
  </si>
  <si>
    <t>결코 만만치 않을 것이다!</t>
    <phoneticPr fontId="1"/>
  </si>
  <si>
    <t>뭣이 어쩌구 어째?</t>
    <phoneticPr fontId="1"/>
  </si>
  <si>
    <t>또 당했다고!?</t>
    <phoneticPr fontId="1"/>
  </si>
  <si>
    <t>있는 층으로 다가오고 있습니닷!</t>
    <phoneticPr fontId="1"/>
  </si>
  <si>
    <t>이 괘씸한 핑크색 찐빵 녀석</t>
    <phoneticPr fontId="1"/>
  </si>
  <si>
    <t>정신 차리십시오!</t>
    <phoneticPr fontId="1"/>
  </si>
  <si>
    <t>봐주는 것도 한두 번이다!</t>
    <phoneticPr fontId="1"/>
  </si>
  <si>
    <t>파이팅!</t>
    <phoneticPr fontId="1"/>
  </si>
  <si>
    <t>으윽! 어쩌지? 어쩌지?</t>
    <phoneticPr fontId="1"/>
  </si>
  <si>
    <t>좋았어! 녀석들을 불러오너라!</t>
    <phoneticPr fontId="1"/>
  </si>
  <si>
    <t>옙! 알곘습니닷!</t>
    <phoneticPr fontId="1"/>
  </si>
  <si>
    <t>커비! 넌 거기까지다!</t>
    <phoneticPr fontId="1"/>
  </si>
  <si>
    <t>트윈 파이어 라이온, 출동!</t>
    <phoneticPr fontId="1"/>
  </si>
  <si>
    <t>이럴 수가!</t>
    <phoneticPr fontId="1"/>
  </si>
  <si>
    <t>모두 커비에게 당해버리다니!</t>
    <phoneticPr fontId="1"/>
  </si>
  <si>
    <t>어서 그 무기를 들어라!</t>
    <phoneticPr fontId="1"/>
  </si>
  <si>
    <t>이제 너와의 숙명의 대결에</t>
    <phoneticPr fontId="1"/>
  </si>
  <si>
    <t>나의 새로운 무기,</t>
    <phoneticPr fontId="1"/>
  </si>
  <si>
    <t>똑똑히 느껴 보거라!</t>
    <phoneticPr fontId="1"/>
  </si>
  <si>
    <r>
      <t>펀펀도 당해버렸습니다요</t>
    </r>
    <r>
      <rPr>
        <sz val="11"/>
        <color theme="1"/>
        <rFont val="游ゴシック"/>
        <family val="3"/>
        <charset val="128"/>
        <scheme val="minor"/>
      </rPr>
      <t>…</t>
    </r>
    <phoneticPr fontId="1"/>
  </si>
  <si>
    <t>커비 녀석은 지금 저희가</t>
    <phoneticPr fontId="1"/>
  </si>
  <si>
    <t>이제 못 버틸걸! 가거라, 펀펀!</t>
    <phoneticPr fontId="1"/>
  </si>
  <si>
    <r>
      <t>그, 그렇지</t>
    </r>
    <r>
      <rPr>
        <sz val="11"/>
        <color theme="1"/>
        <rFont val="游ゴシック"/>
        <family val="3"/>
        <charset val="128"/>
        <scheme val="minor"/>
      </rPr>
      <t>…</t>
    </r>
    <phoneticPr fontId="1"/>
  </si>
  <si>
    <r>
      <t>벌써 당해버렸습니다요</t>
    </r>
    <r>
      <rPr>
        <sz val="11"/>
        <color theme="1"/>
        <rFont val="游ゴシック"/>
        <family val="3"/>
        <charset val="128"/>
        <scheme val="minor"/>
      </rPr>
      <t>…</t>
    </r>
    <phoneticPr fontId="1"/>
  </si>
  <si>
    <r>
      <t>여기까지 잘도 왔구나, 커비</t>
    </r>
    <r>
      <rPr>
        <sz val="11"/>
        <color theme="1"/>
        <rFont val="游ゴシック"/>
        <family val="3"/>
        <charset val="128"/>
        <scheme val="minor"/>
      </rPr>
      <t>…</t>
    </r>
    <phoneticPr fontId="1"/>
  </si>
  <si>
    <r>
      <t>종지부를 찍을 때가 왔도다</t>
    </r>
    <r>
      <rPr>
        <sz val="11"/>
        <color theme="1"/>
        <rFont val="游ゴシック"/>
        <family val="3"/>
        <charset val="128"/>
        <scheme val="minor"/>
      </rPr>
      <t>…</t>
    </r>
    <phoneticPr fontId="1"/>
  </si>
  <si>
    <r>
      <t>뉴 디디디 해머의 힘을</t>
    </r>
    <r>
      <rPr>
        <sz val="11"/>
        <color theme="1"/>
        <rFont val="游ゴシック"/>
        <family val="3"/>
        <charset val="128"/>
        <scheme val="minor"/>
      </rPr>
      <t>…</t>
    </r>
    <phoneticPr fontId="1"/>
  </si>
  <si>
    <r>
      <t>누</t>
    </r>
    <r>
      <rPr>
        <sz val="11"/>
        <color theme="1"/>
        <rFont val="游ゴシック"/>
        <family val="3"/>
        <charset val="128"/>
        <scheme val="minor"/>
      </rPr>
      <t>…</t>
    </r>
    <r>
      <rPr>
        <sz val="11"/>
        <color theme="1"/>
        <rFont val="Malgun Gothic"/>
        <family val="2"/>
      </rPr>
      <t>누가 저 핑크색 찐빵 녀석을</t>
    </r>
    <phoneticPr fontId="1"/>
  </si>
  <si>
    <t>敵の出現時間には影響しない模様</t>
    <phoneticPr fontId="1"/>
  </si>
  <si>
    <t>の、</t>
    <phoneticPr fontId="1"/>
  </si>
  <si>
    <t>　　　せんせいこうげき</t>
    <phoneticPr fontId="1"/>
  </si>
  <si>
    <t>日本版の空白は3マス</t>
    <phoneticPr fontId="1"/>
  </si>
  <si>
    <t>의</t>
    <phoneticPr fontId="1"/>
  </si>
  <si>
    <t xml:space="preserve">  54+  7/11</t>
    <phoneticPr fontId="1"/>
  </si>
  <si>
    <t>163+10/11</t>
    <phoneticPr fontId="1"/>
  </si>
  <si>
    <t>メタナイトでゴーDX平均(期待値)</t>
    <rPh sb="10" eb="12">
      <t>ヘイキン</t>
    </rPh>
    <rPh sb="13" eb="16">
      <t>キタイチ</t>
    </rPh>
    <phoneticPr fontId="1"/>
  </si>
  <si>
    <t>애정/우정</t>
    <phoneticPr fontId="1"/>
  </si>
  <si>
    <t>[愛情/友情]</t>
    <phoneticPr fontId="1"/>
  </si>
  <si>
    <t>곧장 이쪽으로 날아옵니다요!</t>
    <phoneticPr fontId="1"/>
  </si>
  <si>
    <r>
      <t>커</t>
    </r>
    <r>
      <rPr>
        <sz val="11"/>
        <color theme="1"/>
        <rFont val="游ゴシック"/>
        <family val="2"/>
        <charset val="128"/>
      </rPr>
      <t>…</t>
    </r>
    <r>
      <rPr>
        <sz val="11"/>
        <color theme="1"/>
        <rFont val="Malgun Gothic"/>
        <family val="2"/>
        <charset val="129"/>
      </rPr>
      <t>커비가 오고 있습니다!</t>
    </r>
    <phoneticPr fontId="1"/>
  </si>
  <si>
    <t>우왓! 큰일이야!</t>
    <phoneticPr fontId="1"/>
  </si>
  <si>
    <t>어떡하면 좋지!</t>
    <phoneticPr fontId="1"/>
  </si>
  <si>
    <t>발목을 잡힐 순 없슴다!</t>
    <phoneticPr fontId="1"/>
  </si>
  <si>
    <t>이런 데서</t>
    <phoneticPr fontId="1"/>
  </si>
  <si>
    <t>메타 나이트님,</t>
    <phoneticPr fontId="1"/>
  </si>
  <si>
    <t>어떻게 할까요?</t>
    <phoneticPr fontId="1"/>
  </si>
  <si>
    <t>갑판에 있는 자들은 전투를,</t>
    <phoneticPr fontId="1"/>
  </si>
  <si>
    <t>다른 자들은 이륙을 준비하라!</t>
    <phoneticPr fontId="1"/>
  </si>
  <si>
    <t>벌 함장님, 커비가</t>
    <phoneticPr fontId="1"/>
  </si>
  <si>
    <t>로켓 밸브로 진입했습니다!</t>
    <phoneticPr fontId="1"/>
  </si>
  <si>
    <t>으윽, 뭐라고!</t>
    <phoneticPr fontId="1"/>
  </si>
  <si>
    <t>헤비 랍스타를 출동시켜라!</t>
    <phoneticPr fontId="1"/>
  </si>
  <si>
    <t>커비가</t>
    <phoneticPr fontId="1"/>
  </si>
  <si>
    <t>노즌 뒤쪽에 있슴다!</t>
    <phoneticPr fontId="1"/>
  </si>
  <si>
    <t>이륙 준비가 끝났습니다!</t>
    <phoneticPr fontId="1"/>
  </si>
  <si>
    <t>언제든 이륙할 수 있습니다!</t>
    <phoneticPr fontId="1"/>
  </si>
  <si>
    <t>얼른 서둘러라!</t>
    <phoneticPr fontId="1"/>
  </si>
  <si>
    <t>헤비 랍스타는 어딨는 거냐!</t>
    <phoneticPr fontId="1"/>
  </si>
  <si>
    <t>커비와 헤비 랍스타,</t>
    <phoneticPr fontId="1"/>
  </si>
  <si>
    <t>현재 전투 중입니다!</t>
    <phoneticPr fontId="1"/>
  </si>
  <si>
    <t>이륙을 강행한다!</t>
    <phoneticPr fontId="1"/>
  </si>
  <si>
    <t>커비를 날려 버려라!</t>
    <phoneticPr fontId="1"/>
  </si>
  <si>
    <t>메인 엔진 점화!</t>
    <phoneticPr fontId="1"/>
  </si>
  <si>
    <t>커비를</t>
    <phoneticPr fontId="1"/>
  </si>
  <si>
    <t>바다로 날려버렸습니다.</t>
    <phoneticPr fontId="1"/>
  </si>
  <si>
    <r>
      <rPr>
        <sz val="11"/>
        <color theme="1"/>
        <rFont val="Malgun Gothic"/>
        <family val="2"/>
        <charset val="129"/>
      </rPr>
      <t>휴</t>
    </r>
    <r>
      <rPr>
        <sz val="11"/>
        <color theme="1"/>
        <rFont val="游ゴシック"/>
        <family val="2"/>
        <charset val="128"/>
      </rPr>
      <t>~</t>
    </r>
    <phoneticPr fontId="1"/>
  </si>
  <si>
    <t>위험했슴다.</t>
    <phoneticPr fontId="1"/>
  </si>
  <si>
    <r>
      <t xml:space="preserve">나의 공중 전함 </t>
    </r>
    <r>
      <rPr>
        <sz val="11"/>
        <color theme="1"/>
        <rFont val="ＭＳ Ｐゴシック"/>
        <family val="2"/>
        <charset val="128"/>
      </rPr>
      <t>『</t>
    </r>
    <r>
      <rPr>
        <sz val="11"/>
        <color theme="1"/>
        <rFont val="Malgun Gothic"/>
        <family val="2"/>
        <charset val="129"/>
      </rPr>
      <t>할버드</t>
    </r>
    <r>
      <rPr>
        <sz val="11"/>
        <color theme="1"/>
        <rFont val="ＭＳ Ｐゴシック"/>
        <family val="2"/>
        <charset val="128"/>
      </rPr>
      <t>』</t>
    </r>
    <r>
      <rPr>
        <sz val="11"/>
        <color theme="1"/>
        <rFont val="Malgun Gothic"/>
        <family val="2"/>
        <charset val="129"/>
      </rPr>
      <t xml:space="preserve"> 로</t>
    </r>
    <phoneticPr fontId="1"/>
  </si>
  <si>
    <t>푸푸푸랜드를 제압할 것이다!</t>
    <phoneticPr fontId="1"/>
  </si>
  <si>
    <t>우선 몸을 좀 풀어야겠군.</t>
    <phoneticPr fontId="1"/>
  </si>
  <si>
    <t>그레이프 가든으로 출발하라!</t>
    <phoneticPr fontId="1"/>
  </si>
  <si>
    <t>커비 명중!</t>
    <phoneticPr fontId="1"/>
  </si>
  <si>
    <t>숲 속에 떨어진 것 같습니다.</t>
    <phoneticPr fontId="1"/>
  </si>
  <si>
    <t>좋아, 잘했다!</t>
    <phoneticPr fontId="1"/>
  </si>
  <si>
    <t>이번엔 쫓아오지 못하겠지.</t>
    <phoneticPr fontId="1"/>
  </si>
  <si>
    <r>
      <t>과연 그럴까</t>
    </r>
    <r>
      <rPr>
        <sz val="11"/>
        <color theme="1"/>
        <rFont val="游ゴシック"/>
        <family val="3"/>
        <charset val="128"/>
        <scheme val="minor"/>
      </rPr>
      <t>…</t>
    </r>
    <r>
      <rPr>
        <sz val="11"/>
        <color theme="1"/>
        <rFont val="Malgun Gothic"/>
        <family val="2"/>
        <charset val="129"/>
      </rPr>
      <t>?</t>
    </r>
    <phoneticPr fontId="1"/>
  </si>
  <si>
    <t>다이나 블레이드를</t>
    <phoneticPr fontId="1"/>
  </si>
  <si>
    <t>쓰러뜨렸습니다!</t>
    <phoneticPr fontId="1"/>
  </si>
  <si>
    <t>하지만! 하지만!</t>
    <phoneticPr fontId="1"/>
  </si>
  <si>
    <t>커비는 갑판에 있슴다!</t>
    <phoneticPr fontId="1"/>
  </si>
  <si>
    <t>허둥지둥하지 말고</t>
    <phoneticPr fontId="1"/>
  </si>
  <si>
    <t>침착하게 행동하라!</t>
    <phoneticPr fontId="1"/>
  </si>
  <si>
    <t>다들 들어라!</t>
    <phoneticPr fontId="1"/>
  </si>
  <si>
    <t>커비를 무찌른다! 알겠나!</t>
    <phoneticPr fontId="1"/>
  </si>
  <si>
    <t>메타 나이트 군단의 힘을</t>
    <phoneticPr fontId="1"/>
  </si>
  <si>
    <t>커비가 갑판 쪽으로</t>
    <phoneticPr fontId="1"/>
  </si>
  <si>
    <t>나오려는 것 같슴다.</t>
    <phoneticPr fontId="1"/>
  </si>
  <si>
    <t>그럼 그 근처의 주포로</t>
    <phoneticPr fontId="1"/>
  </si>
  <si>
    <r>
      <rPr>
        <sz val="11"/>
        <color theme="1"/>
        <rFont val="Malgun Gothic"/>
        <family val="2"/>
        <charset val="129"/>
      </rPr>
      <t>커비를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유인해라.</t>
    </r>
    <phoneticPr fontId="1"/>
  </si>
  <si>
    <r>
      <rPr>
        <sz val="11"/>
        <color theme="1"/>
        <rFont val="Malgun Gothic"/>
        <family val="2"/>
        <charset val="129"/>
      </rPr>
      <t>커비는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현재 2중 주포 쪽으로</t>
    </r>
    <phoneticPr fontId="1"/>
  </si>
  <si>
    <t>접근하고 있습니다.</t>
    <phoneticPr fontId="1"/>
  </si>
  <si>
    <t>꼴을 보겠군. 크하하하하하!</t>
    <phoneticPr fontId="1"/>
  </si>
  <si>
    <t>드디어 녀석이 통구이가 되는</t>
    <phoneticPr fontId="1"/>
  </si>
  <si>
    <t>아하하하하하!</t>
    <phoneticPr fontId="1"/>
  </si>
  <si>
    <r>
      <t xml:space="preserve">크으으하하하핫핫! </t>
    </r>
    <r>
      <rPr>
        <sz val="11"/>
        <color theme="1"/>
        <rFont val="游ゴシック"/>
        <family val="3"/>
        <charset val="128"/>
        <scheme val="minor"/>
      </rPr>
      <t>…</t>
    </r>
    <r>
      <rPr>
        <sz val="11"/>
        <color theme="1"/>
        <rFont val="Malgun Gothic"/>
        <family val="2"/>
        <charset val="129"/>
      </rPr>
      <t>흐음.</t>
    </r>
    <phoneticPr fontId="1"/>
  </si>
  <si>
    <t>이런!</t>
    <phoneticPr fontId="1"/>
  </si>
  <si>
    <t>2중 주포가 망가졌습니다!</t>
    <phoneticPr fontId="1"/>
  </si>
  <si>
    <t>주포가 산산조각 났슴다!</t>
    <phoneticPr fontId="1"/>
  </si>
  <si>
    <t>재활용도 못하게 생겼슴다!</t>
    <phoneticPr fontId="1"/>
  </si>
  <si>
    <t>피해 면적 약 74%!</t>
    <phoneticPr fontId="1"/>
  </si>
  <si>
    <t>왼쪽 날개가 파괴되었습니다!</t>
    <phoneticPr fontId="1"/>
  </si>
  <si>
    <t>좌우 날개의 밸런스가</t>
    <phoneticPr fontId="1"/>
  </si>
  <si>
    <t>엄청나게 무너지고 있슴다!</t>
    <phoneticPr fontId="1"/>
  </si>
  <si>
    <t>돛을 접어라!</t>
    <phoneticPr fontId="1"/>
  </si>
  <si>
    <t>오른쪽 날개의 부력을 낮춰라!</t>
    <phoneticPr fontId="1"/>
  </si>
  <si>
    <t>으윽!</t>
    <phoneticPr fontId="1"/>
  </si>
  <si>
    <t>지금 커비는 어디 있는 게냐!?</t>
    <phoneticPr fontId="1"/>
  </si>
  <si>
    <t>전함 내부로</t>
    <phoneticPr fontId="1"/>
  </si>
  <si>
    <r>
      <t>들어온 것 같슴다</t>
    </r>
    <r>
      <rPr>
        <sz val="11"/>
        <color theme="1"/>
        <rFont val="游ゴシック"/>
        <family val="3"/>
        <charset val="128"/>
        <scheme val="minor"/>
      </rPr>
      <t>…</t>
    </r>
    <phoneticPr fontId="1"/>
  </si>
  <si>
    <t>레이더에 포착되었습니다!</t>
    <phoneticPr fontId="1"/>
  </si>
  <si>
    <t>도관으로 들어갔습니다!</t>
    <phoneticPr fontId="1"/>
  </si>
  <si>
    <t>다들 준비 됐나?</t>
    <phoneticPr fontId="1"/>
  </si>
  <si>
    <t>이렇게까지 해야 하나요?</t>
    <phoneticPr fontId="1"/>
  </si>
  <si>
    <t>흐음.</t>
    <phoneticPr fontId="1"/>
  </si>
  <si>
    <r>
      <t>분명히 후회할 검다</t>
    </r>
    <r>
      <rPr>
        <sz val="11"/>
        <color theme="1"/>
        <rFont val="游ゴシック"/>
        <family val="3"/>
        <charset val="128"/>
        <scheme val="minor"/>
      </rPr>
      <t>…</t>
    </r>
    <phoneticPr fontId="1"/>
  </si>
  <si>
    <t>시끄럽다! 지금이 바로</t>
    <phoneticPr fontId="1"/>
  </si>
  <si>
    <t>저 녀석을 쓰러뜨릴 기회야!</t>
    <phoneticPr fontId="1"/>
  </si>
  <si>
    <t>두 번 봐주지 않는다!</t>
    <phoneticPr fontId="1"/>
  </si>
  <si>
    <t>헤비 랍스타, 출격하라!</t>
    <phoneticPr fontId="1"/>
  </si>
  <si>
    <t>헤비 랍스타가 폭발하면서</t>
    <phoneticPr fontId="1"/>
  </si>
  <si>
    <t>오른쪽 날개도 파괴되었슴다!</t>
    <phoneticPr fontId="1"/>
  </si>
  <si>
    <t>마침 잘 됐다.</t>
    <phoneticPr fontId="1"/>
  </si>
  <si>
    <t>흥! 왼쪽도 없었는데</t>
    <phoneticPr fontId="1"/>
  </si>
  <si>
    <t>……………</t>
    <phoneticPr fontId="1"/>
  </si>
  <si>
    <t>커비는 바깥벽을 타고 전함의</t>
    <phoneticPr fontId="1"/>
  </si>
  <si>
    <t>중심부로 향하고 있습니다.</t>
    <phoneticPr fontId="1"/>
  </si>
  <si>
    <r>
      <rPr>
        <sz val="11"/>
        <color theme="1"/>
        <rFont val="Malgun Gothic"/>
        <family val="2"/>
        <charset val="129"/>
      </rPr>
      <t>커비는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중심부에서 이동 중.</t>
    </r>
    <phoneticPr fontId="1"/>
  </si>
  <si>
    <r>
      <t>배치된 인원이 적은 곳이군</t>
    </r>
    <r>
      <rPr>
        <sz val="11"/>
        <color theme="1"/>
        <rFont val="游ゴシック"/>
        <family val="3"/>
        <charset val="128"/>
        <scheme val="minor"/>
      </rPr>
      <t>…</t>
    </r>
    <phoneticPr fontId="1"/>
  </si>
  <si>
    <t>하지만 바람이 강하다.</t>
    <phoneticPr fontId="1"/>
  </si>
  <si>
    <t>추워요.</t>
    <phoneticPr fontId="1"/>
  </si>
  <si>
    <t>높아요.</t>
    <phoneticPr fontId="1"/>
  </si>
  <si>
    <t>무섭슴다.</t>
    <phoneticPr fontId="1"/>
  </si>
  <si>
    <r>
      <t>………</t>
    </r>
    <r>
      <rPr>
        <sz val="11"/>
        <color theme="1"/>
        <rFont val="Malgun Gothic"/>
        <family val="2"/>
        <charset val="129"/>
      </rPr>
      <t>아니 이것들이.</t>
    </r>
    <phoneticPr fontId="1"/>
  </si>
  <si>
    <t>커비가 리액터 쪽으로</t>
    <phoneticPr fontId="1"/>
  </si>
  <si>
    <t>가고 있습니다!</t>
    <phoneticPr fontId="1"/>
  </si>
  <si>
    <t>동력까지 없어지면</t>
    <phoneticPr fontId="1"/>
  </si>
  <si>
    <t>괜한 걱정 마라. 리액터는</t>
    <phoneticPr fontId="1"/>
  </si>
  <si>
    <t>커비의 공격에 무적이니까!</t>
    <phoneticPr fontId="1"/>
  </si>
  <si>
    <t>그야 반사 레이저가 리액터에</t>
    <phoneticPr fontId="1"/>
  </si>
  <si>
    <t>닿지 않았을 때의 얘기겠죠.</t>
    <phoneticPr fontId="1"/>
  </si>
  <si>
    <t>쓸데없는 소리 집어치워!</t>
    <phoneticPr fontId="1"/>
  </si>
  <si>
    <t>리액터가 파괴되었습니다!</t>
    <phoneticPr fontId="1"/>
  </si>
  <si>
    <t>동력으로 사용하던 타이어맨이</t>
    <phoneticPr fontId="1"/>
  </si>
  <si>
    <t>모두 도망치고 있슴다!</t>
    <phoneticPr fontId="1"/>
  </si>
  <si>
    <r>
      <rPr>
        <sz val="11"/>
        <color theme="1"/>
        <rFont val="Malgun Gothic"/>
        <family val="2"/>
        <charset val="129"/>
      </rPr>
      <t>크윽</t>
    </r>
    <r>
      <rPr>
        <sz val="11"/>
        <color theme="1"/>
        <rFont val="游ゴシック"/>
        <family val="3"/>
        <charset val="128"/>
        <scheme val="minor"/>
      </rPr>
      <t>…</t>
    </r>
    <r>
      <rPr>
        <sz val="11"/>
        <color theme="1"/>
        <rFont val="Malgun Gothic"/>
        <family val="2"/>
        <charset val="129"/>
      </rPr>
      <t>!</t>
    </r>
    <phoneticPr fontId="1"/>
  </si>
  <si>
    <t>기능이 하나씩 멎고 있습니다!</t>
    <phoneticPr fontId="1"/>
  </si>
  <si>
    <t>제3엔진, 제5엔진 정지!</t>
    <phoneticPr fontId="1"/>
  </si>
  <si>
    <t>이 전함은 이제 끝임다!</t>
    <phoneticPr fontId="1"/>
  </si>
  <si>
    <t>우린 금방 추락함다!</t>
    <phoneticPr fontId="1"/>
  </si>
  <si>
    <t>모든 선원에게 알린다!</t>
    <phoneticPr fontId="1"/>
  </si>
  <si>
    <t>즉시 전함으로부터 탈출하라!</t>
    <phoneticPr fontId="1"/>
  </si>
  <si>
    <t>흐아아아악! 이 전함은</t>
    <phoneticPr fontId="1"/>
  </si>
  <si>
    <t>이제 끝이군! 난 도망치겠어!</t>
    <phoneticPr fontId="1"/>
  </si>
  <si>
    <t>이 앞을</t>
    <phoneticPr fontId="1"/>
  </si>
  <si>
    <t>지나게 할 수는 없슴다!</t>
    <phoneticPr fontId="1"/>
  </si>
  <si>
    <t>부디 조심하십시오!</t>
    <phoneticPr fontId="1"/>
  </si>
  <si>
    <t>먼저 탈출하겠슴다!</t>
    <phoneticPr fontId="1"/>
  </si>
  <si>
    <r>
      <t>저희는 여기까지가 한계임다</t>
    </r>
    <r>
      <rPr>
        <sz val="11"/>
        <color theme="1"/>
        <rFont val="游ゴシック"/>
        <family val="3"/>
        <charset val="128"/>
        <scheme val="minor"/>
      </rPr>
      <t>…</t>
    </r>
    <phoneticPr fontId="1"/>
  </si>
  <si>
    <t>커비! 이젠 끝이다!</t>
    <phoneticPr fontId="1"/>
  </si>
  <si>
    <r>
      <rPr>
        <sz val="11"/>
        <color theme="1"/>
        <rFont val="Malgun Gothic"/>
        <family val="2"/>
      </rPr>
      <t>(두근두근두근두근</t>
    </r>
    <r>
      <rPr>
        <sz val="11"/>
        <color theme="1"/>
        <rFont val="游ゴシック"/>
        <family val="2"/>
        <charset val="128"/>
        <scheme val="minor"/>
      </rPr>
      <t>…</t>
    </r>
    <r>
      <rPr>
        <sz val="11"/>
        <color theme="1"/>
        <rFont val="Malgun Gothic"/>
        <family val="2"/>
      </rPr>
      <t>)</t>
    </r>
    <phoneticPr fontId="1"/>
  </si>
  <si>
    <t>[甲板][戰鬪]</t>
    <phoneticPr fontId="1"/>
  </si>
  <si>
    <t>[離陸][準備]</t>
    <phoneticPr fontId="1"/>
  </si>
  <si>
    <t>1文字2F(最初1F)</t>
    <rPh sb="1" eb="3">
      <t>モジ</t>
    </rPh>
    <rPh sb="6" eb="8">
      <t>サイショ</t>
    </rPh>
    <phoneticPr fontId="1"/>
  </si>
  <si>
    <t>[鎭靜]</t>
    <phoneticPr fontId="1"/>
  </si>
  <si>
    <t>[沈着][行動]</t>
    <phoneticPr fontId="1"/>
  </si>
  <si>
    <t>[本-]</t>
    <phoneticPr fontId="1"/>
  </si>
  <si>
    <t>[忠直][臣下]</t>
    <phoneticPr fontId="1"/>
  </si>
  <si>
    <t>[相對]</t>
    <phoneticPr fontId="1"/>
  </si>
  <si>
    <t>[決-]</t>
    <phoneticPr fontId="1"/>
  </si>
  <si>
    <t>[當]</t>
  </si>
  <si>
    <t>[當]</t>
    <phoneticPr fontId="1"/>
  </si>
  <si>
    <t>[層]</t>
    <phoneticPr fontId="1"/>
  </si>
  <si>
    <t>[精神]</t>
    <phoneticPr fontId="1"/>
  </si>
  <si>
    <t>[番]</t>
    <phoneticPr fontId="1"/>
  </si>
  <si>
    <t>[fighting]</t>
    <phoneticPr fontId="1"/>
  </si>
  <si>
    <t>[Phan Phan]</t>
    <phoneticPr fontId="1"/>
  </si>
  <si>
    <t>[twin Fire Lion][出動]</t>
    <phoneticPr fontId="1"/>
  </si>
  <si>
    <t>[pink色]</t>
  </si>
  <si>
    <t>[pink色]</t>
    <phoneticPr fontId="1"/>
  </si>
  <si>
    <t>[武器]</t>
  </si>
  <si>
    <t>[武器]</t>
    <phoneticPr fontId="1"/>
  </si>
  <si>
    <t>[宿命][對決]</t>
    <phoneticPr fontId="1"/>
  </si>
  <si>
    <t>[new Dedede Hammer]</t>
    <phoneticPr fontId="1"/>
  </si>
  <si>
    <t>[大王]</t>
    <phoneticPr fontId="1"/>
  </si>
  <si>
    <t>[Meta Knight]</t>
    <phoneticPr fontId="1"/>
  </si>
  <si>
    <t>[Kirby]</t>
    <phoneticPr fontId="1"/>
  </si>
  <si>
    <t>[nozzle]</t>
    <phoneticPr fontId="1"/>
  </si>
  <si>
    <t>[Vul 艦長]</t>
    <phoneticPr fontId="1"/>
  </si>
  <si>
    <t>[rocket bulb][進入]</t>
    <phoneticPr fontId="1"/>
  </si>
  <si>
    <t>[Heavy Lobster][出動]</t>
    <phoneticPr fontId="1"/>
  </si>
  <si>
    <t>[離陸 準備]</t>
    <phoneticPr fontId="1"/>
  </si>
  <si>
    <t>[離陸]</t>
    <phoneticPr fontId="1"/>
  </si>
  <si>
    <t>[現在 戰鬪 中]</t>
    <phoneticPr fontId="1"/>
  </si>
  <si>
    <t>[離陸][強行]</t>
    <phoneticPr fontId="1"/>
  </si>
  <si>
    <t>지금이다! 이륙해라!</t>
    <phoneticPr fontId="1"/>
  </si>
  <si>
    <t>[main engine 點火]</t>
    <phoneticPr fontId="1"/>
  </si>
  <si>
    <r>
      <t>[</t>
    </r>
    <r>
      <rPr>
        <sz val="11"/>
        <color theme="1"/>
        <rFont val="游ゴシック"/>
        <family val="3"/>
        <charset val="129"/>
        <scheme val="minor"/>
      </rPr>
      <t>離</t>
    </r>
    <r>
      <rPr>
        <sz val="11"/>
        <color theme="1"/>
        <rFont val="游ゴシック"/>
        <family val="2"/>
        <charset val="128"/>
        <scheme val="minor"/>
      </rPr>
      <t>陸]</t>
    </r>
  </si>
  <si>
    <t>[危險]</t>
    <phoneticPr fontId="1"/>
  </si>
  <si>
    <t>[空中 戰艦][Halberd]</t>
    <phoneticPr fontId="1"/>
  </si>
  <si>
    <t>[プププLand][制壓]</t>
    <phoneticPr fontId="1"/>
  </si>
  <si>
    <t>[于先]</t>
    <phoneticPr fontId="1"/>
  </si>
  <si>
    <t>[于先][試驗]</t>
    <phoneticPr fontId="1"/>
  </si>
  <si>
    <t>[Grape Garden][出發]</t>
    <phoneticPr fontId="1"/>
  </si>
  <si>
    <t>[命中]</t>
    <phoneticPr fontId="1"/>
  </si>
  <si>
    <t>[-番]</t>
    <phoneticPr fontId="1"/>
  </si>
  <si>
    <t>[果然]</t>
    <phoneticPr fontId="1"/>
  </si>
  <si>
    <t>[Dyna Blade]</t>
    <phoneticPr fontId="1"/>
  </si>
  <si>
    <t>[甲板]</t>
    <phoneticPr fontId="1"/>
  </si>
  <si>
    <t>[覺悟]</t>
    <phoneticPr fontId="1"/>
  </si>
  <si>
    <t>[Meta Knight 軍團]</t>
    <phoneticPr fontId="1"/>
  </si>
  <si>
    <t>[近處][主砲]</t>
    <phoneticPr fontId="1"/>
  </si>
  <si>
    <t>[誘引]</t>
    <phoneticPr fontId="1"/>
  </si>
  <si>
    <t>[現在][重 主砲]</t>
    <phoneticPr fontId="1"/>
  </si>
  <si>
    <t>[接近]</t>
    <phoneticPr fontId="1"/>
  </si>
  <si>
    <t>[重 主砲]</t>
  </si>
  <si>
    <t>[主砲][散散]</t>
    <phoneticPr fontId="1"/>
  </si>
  <si>
    <t>[再活用]</t>
    <phoneticPr fontId="1"/>
  </si>
  <si>
    <t>뭐, 뭐라고!?</t>
    <phoneticPr fontId="1"/>
  </si>
  <si>
    <t>[破壞]</t>
    <phoneticPr fontId="1"/>
  </si>
  <si>
    <t>[被害 面積 約]</t>
    <phoneticPr fontId="1"/>
  </si>
  <si>
    <t>[左右][balance]</t>
    <phoneticPr fontId="1"/>
  </si>
  <si>
    <t>[浮力]</t>
    <phoneticPr fontId="1"/>
  </si>
  <si>
    <t>[只今]</t>
    <phoneticPr fontId="1"/>
  </si>
  <si>
    <t>[戰艦 內部]</t>
    <phoneticPr fontId="1"/>
  </si>
  <si>
    <t>[radar][捕捉]</t>
    <phoneticPr fontId="1"/>
  </si>
  <si>
    <t>[導管]</t>
    <phoneticPr fontId="1"/>
  </si>
  <si>
    <t>[準備]</t>
    <phoneticPr fontId="1"/>
  </si>
  <si>
    <t>[機會]</t>
    <phoneticPr fontId="1"/>
  </si>
  <si>
    <t>[出擊]</t>
    <phoneticPr fontId="1"/>
  </si>
  <si>
    <t>[爆發]</t>
    <phoneticPr fontId="1"/>
  </si>
  <si>
    <t>[壁][戰艦]</t>
    <phoneticPr fontId="1"/>
  </si>
  <si>
    <t>[中(重?)心部][向]</t>
    <phoneticPr fontId="1"/>
  </si>
  <si>
    <t>[中(重?)心部][移動 中]</t>
    <phoneticPr fontId="1"/>
  </si>
  <si>
    <t>[配置][人員]</t>
    <phoneticPr fontId="1"/>
  </si>
  <si>
    <t>[強]</t>
    <phoneticPr fontId="1"/>
  </si>
  <si>
    <t>[reactor]</t>
    <phoneticPr fontId="1"/>
  </si>
  <si>
    <t>[動力]</t>
    <phoneticPr fontId="1"/>
  </si>
  <si>
    <t>[正]</t>
    <phoneticPr fontId="1"/>
  </si>
  <si>
    <t>[攻擊][無敵]</t>
    <phoneticPr fontId="1"/>
  </si>
  <si>
    <t>[反射 Laser]</t>
    <phoneticPr fontId="1"/>
  </si>
  <si>
    <t>[逃亡]</t>
    <phoneticPr fontId="1"/>
  </si>
  <si>
    <t>[機能]</t>
    <phoneticPr fontId="1"/>
  </si>
  <si>
    <t>[第][停止]</t>
    <phoneticPr fontId="1"/>
  </si>
  <si>
    <t>[戰艦]</t>
    <phoneticPr fontId="1"/>
  </si>
  <si>
    <t>[今方 墜落]</t>
    <phoneticPr fontId="1"/>
  </si>
  <si>
    <t>[不察]</t>
    <phoneticPr fontId="1"/>
  </si>
  <si>
    <t>[船員]</t>
    <phoneticPr fontId="1"/>
  </si>
  <si>
    <t>[卽時 戰艦][脫出]</t>
    <phoneticPr fontId="1"/>
  </si>
  <si>
    <t>[操心]</t>
    <phoneticPr fontId="1"/>
  </si>
  <si>
    <t>[限界]</t>
    <phoneticPr fontId="1"/>
  </si>
  <si>
    <t>[脫出]</t>
    <phoneticPr fontId="1"/>
  </si>
  <si>
    <t>[眞情(正?)][勝負]</t>
    <phoneticPr fontId="1"/>
  </si>
  <si>
    <t>[Kabula][擊墜]</t>
    <phoneticPr fontId="1"/>
  </si>
  <si>
    <t>[動力][使用][tire man]</t>
    <phoneticPr fontId="1"/>
  </si>
  <si>
    <t>[slime]</t>
    <phoneticPr fontId="1"/>
  </si>
  <si>
    <t>(操り人形)</t>
    <rPh sb="1" eb="2">
      <t>アヤツ</t>
    </rPh>
    <rPh sb="3" eb="5">
      <t>ニンギョウ</t>
    </rPh>
    <phoneticPr fontId="1"/>
  </si>
  <si>
    <t>(きらきら輝くまなざし)</t>
    <rPh sb="5" eb="6">
      <t>カガヤ</t>
    </rPh>
    <phoneticPr fontId="1"/>
  </si>
  <si>
    <t>(柔らかい)[觸感]</t>
    <rPh sb="1" eb="2">
      <t>ヤワ</t>
    </rPh>
    <phoneticPr fontId="1"/>
  </si>
  <si>
    <t>[Grand Dragon]</t>
    <phoneticPr fontId="1"/>
  </si>
  <si>
    <t>[damage]</t>
    <phoneticPr fontId="1"/>
  </si>
  <si>
    <t>[point]日本版の空白は3マス</t>
    <phoneticPr fontId="1"/>
  </si>
  <si>
    <t>[獲得][意味]日本版の空白は1マス</t>
    <phoneticPr fontId="1"/>
  </si>
  <si>
    <t>선제 공격!</t>
    <phoneticPr fontId="1"/>
  </si>
  <si>
    <t>[先制 攻擊]日本版の空白は3マス</t>
    <phoneticPr fontId="1"/>
  </si>
  <si>
    <t>[プププ]</t>
    <phoneticPr fontId="1"/>
  </si>
  <si>
    <t>きれあじ</t>
    <phoneticPr fontId="1"/>
  </si>
  <si>
    <t>クールさ</t>
    <phoneticPr fontId="1"/>
  </si>
  <si>
    <t>たのもしさ</t>
    <phoneticPr fontId="1"/>
  </si>
  <si>
    <t>せいしんりょく</t>
    <phoneticPr fontId="1"/>
  </si>
  <si>
    <t>かっこよさ</t>
    <phoneticPr fontId="1"/>
  </si>
  <si>
    <t>うつくしさ</t>
    <phoneticPr fontId="1"/>
  </si>
  <si>
    <t>カリスマせい</t>
    <phoneticPr fontId="1"/>
  </si>
  <si>
    <t>かめんのつや</t>
    <phoneticPr fontId="1"/>
  </si>
  <si>
    <t>あいじょう/ゆうじょう</t>
    <phoneticPr fontId="1"/>
  </si>
  <si>
    <t>けんのかがやき/リーダーシップ</t>
    <phoneticPr fontId="1"/>
  </si>
  <si>
    <t>[勇氣]</t>
    <phoneticPr fontId="1"/>
  </si>
  <si>
    <t>カービィ</t>
    <phoneticPr fontId="1"/>
  </si>
  <si>
    <t>ヘルパー</t>
    <phoneticPr fontId="1"/>
  </si>
  <si>
    <t>メタナイト</t>
    <phoneticPr fontId="1"/>
  </si>
  <si>
    <t>は、ガードをした!</t>
    <phoneticPr fontId="1"/>
  </si>
  <si>
    <t>는 방어를 했다!</t>
    <phoneticPr fontId="1"/>
  </si>
  <si>
    <t>는 모든 전을 물리쳤다!</t>
    <phoneticPr fontId="1"/>
  </si>
  <si>
    <t>は、てきをぜんぶやっつけた!</t>
    <phoneticPr fontId="1"/>
  </si>
  <si>
    <t>커비</t>
    <phoneticPr fontId="1"/>
  </si>
  <si>
    <t>헬퍼</t>
    <phoneticPr fontId="1"/>
  </si>
  <si>
    <t>메타 나이트</t>
    <phoneticPr fontId="1"/>
  </si>
  <si>
    <t>[helper]</t>
    <phoneticPr fontId="1"/>
  </si>
  <si>
    <t>の、こうげき!</t>
    <phoneticPr fontId="1"/>
  </si>
  <si>
    <t xml:space="preserve">의 공격! </t>
    <phoneticPr fontId="1"/>
  </si>
  <si>
    <t>아름다움</t>
    <phoneticPr fontId="1"/>
  </si>
  <si>
    <t>정신력</t>
    <phoneticPr fontId="1"/>
  </si>
  <si>
    <t>쿨한 성격</t>
    <phoneticPr fontId="1"/>
  </si>
  <si>
    <t>[cool][性格]</t>
    <phoneticPr fontId="1"/>
  </si>
  <si>
    <t>[外貌]</t>
    <phoneticPr fontId="1"/>
  </si>
  <si>
    <t>[精神力]</t>
    <phoneticPr fontId="1"/>
  </si>
  <si>
    <t>카리스마</t>
    <phoneticPr fontId="1"/>
  </si>
  <si>
    <t>[charisma]</t>
    <phoneticPr fontId="1"/>
  </si>
  <si>
    <t>영웅스러움</t>
    <phoneticPr fontId="1"/>
  </si>
  <si>
    <t>날카로움</t>
    <phoneticPr fontId="1"/>
  </si>
  <si>
    <t>가면의 광택</t>
    <phoneticPr fontId="1"/>
  </si>
  <si>
    <t>[假面][光澤]</t>
    <phoneticPr fontId="1"/>
  </si>
  <si>
    <t>멋있는 외모</t>
    <phoneticPr fontId="1"/>
  </si>
  <si>
    <r>
      <t>[劍][</t>
    </r>
    <r>
      <rPr>
        <sz val="11"/>
        <rFont val="游ゴシック"/>
        <family val="2"/>
        <charset val="129"/>
        <scheme val="minor"/>
      </rPr>
      <t>銳</t>
    </r>
    <r>
      <rPr>
        <sz val="11"/>
        <rFont val="游ゴシック"/>
        <family val="3"/>
        <charset val="128"/>
        <scheme val="minor"/>
      </rPr>
      <t>利]/[leadership]</t>
    </r>
    <phoneticPr fontId="1"/>
  </si>
  <si>
    <t>믿음직스러움</t>
    <phoneticPr fontId="1"/>
  </si>
  <si>
    <t>검 끝의 예리함/리더십</t>
    <phoneticPr fontId="1"/>
  </si>
  <si>
    <r>
      <t>XXX</t>
    </r>
    <r>
      <rPr>
        <sz val="11"/>
        <color theme="1"/>
        <rFont val="Malgun Gothic"/>
        <family val="2"/>
        <charset val="129"/>
      </rPr>
      <t>의</t>
    </r>
    <r>
      <rPr>
        <sz val="11"/>
        <color theme="1"/>
        <rFont val="游ゴシック"/>
        <family val="3"/>
        <charset val="128"/>
        <scheme val="minor"/>
      </rPr>
      <t>/XXXポ/X</t>
    </r>
    <r>
      <rPr>
        <sz val="11"/>
        <color theme="1"/>
        <rFont val="Malgun Gothic"/>
        <family val="2"/>
        <charset val="129"/>
      </rPr>
      <t>포</t>
    </r>
    <r>
      <rPr>
        <sz val="11"/>
        <color theme="1"/>
        <rFont val="游ゴシック"/>
        <family val="3"/>
        <charset val="128"/>
        <scheme val="minor"/>
      </rPr>
      <t>/Xポで一文字扱い</t>
    </r>
    <rPh sb="16" eb="19">
      <t>ヒトモジ</t>
    </rPh>
    <rPh sb="19" eb="20">
      <t>アツカ</t>
    </rPh>
    <phoneticPr fontId="1"/>
  </si>
  <si>
    <t>格闘王への道(期待値)</t>
    <rPh sb="0" eb="3">
      <t>カクトウオウ</t>
    </rPh>
    <rPh sb="5" eb="6">
      <t>ミチ</t>
    </rPh>
    <rPh sb="7" eb="10">
      <t>キタイチ</t>
    </rPh>
    <phoneticPr fontId="1"/>
  </si>
  <si>
    <t>ヘルパーマスターへの道(期待値)</t>
    <rPh sb="10" eb="11">
      <t>ミチ</t>
    </rPh>
    <rPh sb="12" eb="15">
      <t>キタイチ</t>
    </rPh>
    <phoneticPr fontId="1"/>
  </si>
  <si>
    <t>平均(期待値) (-35/11 / -79/11)</t>
    <rPh sb="0" eb="2">
      <t>ヘイキン</t>
    </rPh>
    <rPh sb="3" eb="6">
      <t>キタイチ</t>
    </rPh>
    <phoneticPr fontId="1"/>
  </si>
  <si>
    <t>最後にヘルパーを出した場合</t>
    <rPh sb="0" eb="2">
      <t>サイゴ</t>
    </rPh>
    <rPh sb="8" eb="9">
      <t>ダ</t>
    </rPh>
    <rPh sb="11" eb="13">
      <t>バアイ</t>
    </rPh>
    <phoneticPr fontId="1"/>
  </si>
  <si>
    <t>[惡魔][騎士]</t>
    <phoneticPr fontId="1"/>
  </si>
  <si>
    <t>「カ、カービィがやってきました!</t>
    <phoneticPr fontId="1"/>
  </si>
  <si>
    <t>　まっすぐこちらに飛んできます!</t>
    <rPh sb="8" eb="9">
      <t>ト</t>
    </rPh>
    <phoneticPr fontId="1"/>
  </si>
  <si>
    <t>「たいへん!たいへん!</t>
    <phoneticPr fontId="1"/>
  </si>
  <si>
    <t>改行は3F(日本版は空白1マスあるので見かけ5F)</t>
    <rPh sb="0" eb="2">
      <t>カイギョウ</t>
    </rPh>
    <rPh sb="6" eb="8">
      <t>ニホン</t>
    </rPh>
    <rPh sb="8" eb="9">
      <t>バン</t>
    </rPh>
    <rPh sb="10" eb="12">
      <t>クウハク</t>
    </rPh>
    <rPh sb="19" eb="20">
      <t>ミ</t>
    </rPh>
    <phoneticPr fontId="1"/>
  </si>
  <si>
    <t>「こんなところで</t>
    <phoneticPr fontId="1"/>
  </si>
  <si>
    <t>　ジャマされたくないだスよ!</t>
    <phoneticPr fontId="1"/>
  </si>
  <si>
    <t>「メタナイトさま、</t>
    <phoneticPr fontId="1"/>
  </si>
  <si>
    <t>「甲板付近のものは戦闘準備!</t>
    <rPh sb="1" eb="5">
      <t>カンパンフキン</t>
    </rPh>
    <rPh sb="9" eb="13">
      <t>セントウジュンビ</t>
    </rPh>
    <phoneticPr fontId="1"/>
  </si>
  <si>
    <t>　他のものは離陸にそなえよ!</t>
    <rPh sb="1" eb="2">
      <t>ホカ</t>
    </rPh>
    <rPh sb="6" eb="8">
      <t>リリク</t>
    </rPh>
    <phoneticPr fontId="1"/>
  </si>
  <si>
    <t>「バル艦長、カービィが</t>
    <rPh sb="3" eb="5">
      <t>カンチョウ</t>
    </rPh>
    <phoneticPr fontId="1"/>
  </si>
  <si>
    <t>　ロケットバルブに進入しました!</t>
    <rPh sb="9" eb="11">
      <t>シンニュウ</t>
    </rPh>
    <phoneticPr fontId="1"/>
  </si>
  <si>
    <t>「ええぃ!</t>
    <phoneticPr fontId="1"/>
  </si>
  <si>
    <t>　ヘビーロブスターを投入しろぉ!</t>
    <rPh sb="10" eb="12">
      <t>トウニュウ</t>
    </rPh>
    <phoneticPr fontId="1"/>
  </si>
  <si>
    <t>「カービィが</t>
    <phoneticPr fontId="1"/>
  </si>
  <si>
    <t>　ノズルのうしろにいるだス!</t>
    <phoneticPr fontId="1"/>
  </si>
  <si>
    <t>「離陸準備がととのいました!</t>
    <rPh sb="1" eb="5">
      <t>リリクジュンビ</t>
    </rPh>
    <phoneticPr fontId="1"/>
  </si>
  <si>
    <t>　じき飛べます!</t>
    <rPh sb="3" eb="4">
      <t>ト</t>
    </rPh>
    <phoneticPr fontId="1"/>
  </si>
  <si>
    <t>「急げ急げぃ!</t>
    <rPh sb="1" eb="2">
      <t>イソ</t>
    </rPh>
    <rPh sb="3" eb="4">
      <t>イソ</t>
    </rPh>
    <phoneticPr fontId="1"/>
  </si>
  <si>
    <t>　ヘビーロブスターはまだか!</t>
    <phoneticPr fontId="1"/>
  </si>
  <si>
    <t>「カービィとヘビーロブスター、</t>
    <phoneticPr fontId="1"/>
  </si>
  <si>
    <t>　現在、戦闘中です!</t>
    <rPh sb="1" eb="3">
      <t>ゲンザイ</t>
    </rPh>
    <rPh sb="4" eb="7">
      <t>セントウチュウ</t>
    </rPh>
    <phoneticPr fontId="1"/>
  </si>
  <si>
    <t>「離陸を強行するぞ!</t>
    <rPh sb="1" eb="3">
      <t>リリク</t>
    </rPh>
    <rPh sb="4" eb="6">
      <t>キョウコウ</t>
    </rPh>
    <phoneticPr fontId="1"/>
  </si>
  <si>
    <t>　カービィをふきとばせ!</t>
    <phoneticPr fontId="1"/>
  </si>
  <si>
    <t>「OK!</t>
    <phoneticPr fontId="1"/>
  </si>
  <si>
    <t>　メインエンジン点火!</t>
    <rPh sb="8" eb="10">
      <t>テンカ</t>
    </rPh>
    <phoneticPr fontId="1"/>
  </si>
  <si>
    <t>　どうしよぉ!</t>
    <phoneticPr fontId="1"/>
  </si>
  <si>
    <t>「カービィは</t>
    <phoneticPr fontId="1"/>
  </si>
  <si>
    <t>　海まで飛ばされたようです。</t>
    <rPh sb="1" eb="2">
      <t>ウミ</t>
    </rPh>
    <rPh sb="4" eb="5">
      <t>ト</t>
    </rPh>
    <phoneticPr fontId="1"/>
  </si>
  <si>
    <t>「ぷぅ。</t>
    <phoneticPr fontId="1"/>
  </si>
  <si>
    <t>　ヤバかっただス。</t>
    <phoneticPr fontId="1"/>
  </si>
  <si>
    <t>「この空中戦艦『ハルバード』で、</t>
    <rPh sb="3" eb="7">
      <t>クウチュウセンカン</t>
    </rPh>
    <phoneticPr fontId="1"/>
  </si>
  <si>
    <t>「まずはこてしらべだ。</t>
    <phoneticPr fontId="1"/>
  </si>
  <si>
    <t>　目標、グレープ・ガーデン!</t>
    <rPh sb="1" eb="3">
      <t>モクヒョウ</t>
    </rPh>
    <phoneticPr fontId="1"/>
  </si>
  <si>
    <t>「カービィ撃退!</t>
    <rPh sb="5" eb="7">
      <t>ゲキタイ</t>
    </rPh>
    <phoneticPr fontId="1"/>
  </si>
  <si>
    <t>　森におちたようです。</t>
    <rPh sb="1" eb="2">
      <t>モリ</t>
    </rPh>
    <phoneticPr fontId="1"/>
  </si>
  <si>
    <t>「よしっ。今度こそ</t>
    <rPh sb="5" eb="7">
      <t>コンド</t>
    </rPh>
    <phoneticPr fontId="1"/>
  </si>
  <si>
    <t>　追いつけまいっ。</t>
    <rPh sb="1" eb="2">
      <t>オ</t>
    </rPh>
    <phoneticPr fontId="1"/>
  </si>
  <si>
    <t>「ダイナブレイドを</t>
    <phoneticPr fontId="1"/>
  </si>
  <si>
    <t>　撃墜しました!</t>
    <rPh sb="1" eb="3">
      <t>ゲキツイ</t>
    </rPh>
    <phoneticPr fontId="1"/>
  </si>
  <si>
    <t>「でも!でも!</t>
    <phoneticPr fontId="1"/>
  </si>
  <si>
    <t>　カービィが甲板にいるだスぅ!</t>
    <rPh sb="6" eb="8">
      <t>カンパン</t>
    </rPh>
    <phoneticPr fontId="1"/>
  </si>
  <si>
    <t>「おちつけ。</t>
    <phoneticPr fontId="1"/>
  </si>
  <si>
    <t>　冷静に対処すればいいのだ。</t>
    <rPh sb="1" eb="3">
      <t>レイセイ</t>
    </rPh>
    <rPh sb="4" eb="6">
      <t>タイショ</t>
    </rPh>
    <phoneticPr fontId="1"/>
  </si>
  <si>
    <t>「ものどもであえぃ!</t>
    <phoneticPr fontId="1"/>
  </si>
  <si>
    <t>　カービィをけちらせっ!</t>
    <phoneticPr fontId="1"/>
  </si>
  <si>
    <t>「そこまでだ!カービィ!</t>
    <phoneticPr fontId="1"/>
  </si>
  <si>
    <t>「メタ・ナイツの力を</t>
    <rPh sb="8" eb="9">
      <t>チカラ</t>
    </rPh>
    <phoneticPr fontId="1"/>
  </si>
  <si>
    <t>　思い知るがいいっ!</t>
    <rPh sb="1" eb="2">
      <t>オモ</t>
    </rPh>
    <rPh sb="3" eb="4">
      <t>シ</t>
    </rPh>
    <phoneticPr fontId="1"/>
  </si>
  <si>
    <t>「ファイトっ!</t>
    <phoneticPr fontId="1"/>
  </si>
  <si>
    <t>「カービィが甲板に</t>
    <rPh sb="6" eb="8">
      <t>カンパン</t>
    </rPh>
    <phoneticPr fontId="1"/>
  </si>
  <si>
    <t>　出ようとしてるだスね。</t>
    <rPh sb="1" eb="2">
      <t>デ</t>
    </rPh>
    <phoneticPr fontId="1"/>
  </si>
  <si>
    <t>「では、そばにある主砲の前に</t>
    <rPh sb="9" eb="11">
      <t>シュホウ</t>
    </rPh>
    <rPh sb="12" eb="13">
      <t>マエ</t>
    </rPh>
    <phoneticPr fontId="1"/>
  </si>
  <si>
    <t>　ごあんないしろ。</t>
    <phoneticPr fontId="1"/>
  </si>
  <si>
    <t>「カービィは現在、２連主砲に</t>
    <rPh sb="6" eb="8">
      <t>ゲンザイ</t>
    </rPh>
    <rPh sb="10" eb="13">
      <t>レンシュホウ</t>
    </rPh>
    <phoneticPr fontId="1"/>
  </si>
  <si>
    <t>　近づきつつあります。</t>
    <rPh sb="1" eb="2">
      <t>チカ</t>
    </rPh>
    <phoneticPr fontId="1"/>
  </si>
  <si>
    <t>「これでまっくろこげだな。</t>
    <phoneticPr fontId="1"/>
  </si>
  <si>
    <t>　がはははははははっ!</t>
    <phoneticPr fontId="1"/>
  </si>
  <si>
    <t>「あははははははっ!</t>
    <phoneticPr fontId="1"/>
  </si>
  <si>
    <t>「がははははがははははっ!</t>
    <phoneticPr fontId="1"/>
  </si>
  <si>
    <t>　がはははがははっ!……ふぅ。</t>
    <phoneticPr fontId="1"/>
  </si>
  <si>
    <t>「あぁっ!</t>
    <phoneticPr fontId="1"/>
  </si>
  <si>
    <t>　２連主砲がやられました!</t>
    <rPh sb="2" eb="5">
      <t>レンシュホウ</t>
    </rPh>
    <phoneticPr fontId="1"/>
  </si>
  <si>
    <t>「主砲がバラバラだス!</t>
    <rPh sb="1" eb="3">
      <t>シュホウ</t>
    </rPh>
    <phoneticPr fontId="1"/>
  </si>
  <si>
    <t>　つかいもんにならないだス!</t>
    <phoneticPr fontId="1"/>
  </si>
  <si>
    <t>「左ウィング大破!</t>
    <rPh sb="1" eb="2">
      <t>ヒダリ</t>
    </rPh>
    <rPh sb="6" eb="8">
      <t>タイハ</t>
    </rPh>
    <phoneticPr fontId="1"/>
  </si>
  <si>
    <t>　被害面積、約７４％!</t>
    <rPh sb="1" eb="5">
      <t>ヒガイメンセキ</t>
    </rPh>
    <rPh sb="6" eb="7">
      <t>ヤク</t>
    </rPh>
    <phoneticPr fontId="1"/>
  </si>
  <si>
    <t>「左右のバランスを</t>
    <rPh sb="1" eb="3">
      <t>サユウ</t>
    </rPh>
    <phoneticPr fontId="1"/>
  </si>
  <si>
    <t>　くずしまくってるだス!</t>
    <phoneticPr fontId="1"/>
  </si>
  <si>
    <t>「セイル収縮!</t>
    <rPh sb="4" eb="6">
      <t>シュウシュク</t>
    </rPh>
    <phoneticPr fontId="1"/>
  </si>
  <si>
    <t>「ええいっ!</t>
    <phoneticPr fontId="1"/>
  </si>
  <si>
    <t>「艦内にもぐりこんだ</t>
    <rPh sb="1" eb="3">
      <t>カンナイ</t>
    </rPh>
    <phoneticPr fontId="1"/>
  </si>
  <si>
    <t>　ようですが…</t>
    <phoneticPr fontId="1"/>
  </si>
  <si>
    <t>「レーダーでキャッチしました!</t>
    <phoneticPr fontId="1"/>
  </si>
  <si>
    <t>　ダクトに入ったようです。</t>
    <rPh sb="5" eb="6">
      <t>ハイ</t>
    </rPh>
    <phoneticPr fontId="1"/>
  </si>
  <si>
    <t>「ぷん。</t>
    <phoneticPr fontId="1"/>
  </si>
  <si>
    <t>　きっとこうかいするだス。</t>
    <phoneticPr fontId="1"/>
  </si>
  <si>
    <t>　今しかあるまいっ!</t>
    <rPh sb="1" eb="2">
      <t>イマ</t>
    </rPh>
    <phoneticPr fontId="1"/>
  </si>
  <si>
    <t>「２どめのしょうじき!</t>
    <phoneticPr fontId="1"/>
  </si>
  <si>
    <t>　ヘビーロブスター発進っ!</t>
    <rPh sb="9" eb="11">
      <t>ハッシン</t>
    </rPh>
    <phoneticPr fontId="1"/>
  </si>
  <si>
    <t>「ヘビーロブスターの爆発で、</t>
    <rPh sb="10" eb="12">
      <t>バクハツ</t>
    </rPh>
    <phoneticPr fontId="1"/>
  </si>
  <si>
    <t>　右ウィングもこわれただス!</t>
    <rPh sb="1" eb="2">
      <t>ミギ</t>
    </rPh>
    <phoneticPr fontId="1"/>
  </si>
  <si>
    <t>「ふ、ふ～んだ。左右がこわれて</t>
    <rPh sb="8" eb="10">
      <t>サユウ</t>
    </rPh>
    <phoneticPr fontId="1"/>
  </si>
  <si>
    <t>　ちょうどいいわいっ。</t>
    <phoneticPr fontId="1"/>
  </si>
  <si>
    <t>「……………。</t>
    <phoneticPr fontId="1"/>
  </si>
  <si>
    <t>「カービィは、外壁をつたって</t>
    <rPh sb="7" eb="9">
      <t>ガイヘキ</t>
    </rPh>
    <phoneticPr fontId="1"/>
  </si>
  <si>
    <t>　戦艦底部に向かうようです。</t>
    <rPh sb="1" eb="5">
      <t>センカンテイブ</t>
    </rPh>
    <rPh sb="6" eb="7">
      <t>ム</t>
    </rPh>
    <phoneticPr fontId="1"/>
  </si>
  <si>
    <t>「カービィは戦艦底部を進行中。</t>
    <phoneticPr fontId="1"/>
  </si>
  <si>
    <t>「手薄なところだな…</t>
    <rPh sb="1" eb="3">
      <t>テウス</t>
    </rPh>
    <phoneticPr fontId="1"/>
  </si>
  <si>
    <t>　しかし、風が強い。</t>
    <rPh sb="5" eb="6">
      <t>カゼ</t>
    </rPh>
    <rPh sb="7" eb="8">
      <t>ツヨ</t>
    </rPh>
    <phoneticPr fontId="1"/>
  </si>
  <si>
    <t>「さむい。</t>
    <phoneticPr fontId="1"/>
  </si>
  <si>
    <t>「たかい。</t>
    <phoneticPr fontId="1"/>
  </si>
  <si>
    <t>「こわいだス。</t>
    <phoneticPr fontId="1"/>
  </si>
  <si>
    <t>「………おまえら。</t>
    <phoneticPr fontId="1"/>
  </si>
  <si>
    <t>「カービィがリアクターに</t>
    <phoneticPr fontId="1"/>
  </si>
  <si>
    <t>　向かっています!</t>
    <rPh sb="1" eb="2">
      <t>ム</t>
    </rPh>
    <phoneticPr fontId="1"/>
  </si>
  <si>
    <t>「動力がなくなったら、</t>
    <rPh sb="1" eb="3">
      <t>ドウリョク</t>
    </rPh>
    <phoneticPr fontId="1"/>
  </si>
  <si>
    <t>「案ずるな。リアクターはカービィ</t>
    <rPh sb="1" eb="2">
      <t>アン</t>
    </rPh>
    <phoneticPr fontId="1"/>
  </si>
  <si>
    <t>　のどんな攻撃も受け付けまい!</t>
    <rPh sb="5" eb="7">
      <t>コウゲキ</t>
    </rPh>
    <phoneticPr fontId="1"/>
  </si>
  <si>
    <t>「反射レーザーがリアクターに</t>
    <rPh sb="1" eb="3">
      <t>ハンシャ</t>
    </rPh>
    <phoneticPr fontId="1"/>
  </si>
  <si>
    <t>　当たらなければムテキだね。</t>
    <rPh sb="1" eb="2">
      <t>ア</t>
    </rPh>
    <phoneticPr fontId="1"/>
  </si>
  <si>
    <t>「しぃぃぃぃぃぃぃぃぃっ!</t>
    <phoneticPr fontId="1"/>
  </si>
  <si>
    <t>　よけいなこと言うなっ!</t>
    <rPh sb="7" eb="8">
      <t>イ</t>
    </rPh>
    <phoneticPr fontId="1"/>
  </si>
  <si>
    <t>「リアクターを破壊されました!</t>
    <rPh sb="7" eb="9">
      <t>ハカイ</t>
    </rPh>
    <phoneticPr fontId="1"/>
  </si>
  <si>
    <t>「動力であるウィリー達が</t>
    <rPh sb="1" eb="3">
      <t>ドウリョク</t>
    </rPh>
    <rPh sb="10" eb="11">
      <t>タチ</t>
    </rPh>
    <phoneticPr fontId="1"/>
  </si>
  <si>
    <t>　逃げていくダスぅ!</t>
    <rPh sb="1" eb="2">
      <t>ニ</t>
    </rPh>
    <phoneticPr fontId="1"/>
  </si>
  <si>
    <t>「ええぃ、</t>
    <phoneticPr fontId="1"/>
  </si>
  <si>
    <t>　なにをやっておるのだぁぁ!</t>
    <phoneticPr fontId="1"/>
  </si>
  <si>
    <t>「各部の機能が低下しています!</t>
    <rPh sb="1" eb="3">
      <t>カクブ</t>
    </rPh>
    <rPh sb="4" eb="6">
      <t>キノウ</t>
    </rPh>
    <rPh sb="7" eb="9">
      <t>テイカ</t>
    </rPh>
    <phoneticPr fontId="1"/>
  </si>
  <si>
    <t>　第３、第５エンジン停止!</t>
    <rPh sb="1" eb="2">
      <t>ダイ</t>
    </rPh>
    <rPh sb="4" eb="5">
      <t>ダイ</t>
    </rPh>
    <rPh sb="10" eb="12">
      <t>テイシ</t>
    </rPh>
    <phoneticPr fontId="1"/>
  </si>
  <si>
    <t>「もうぼろぼろだス!</t>
    <phoneticPr fontId="1"/>
  </si>
  <si>
    <t>　すぐにおちるだスよ!</t>
    <phoneticPr fontId="1"/>
  </si>
  <si>
    <t>「クルー全員に告ぐ!</t>
    <rPh sb="4" eb="6">
      <t>ゼンイン</t>
    </rPh>
    <rPh sb="7" eb="8">
      <t>ツ</t>
    </rPh>
    <phoneticPr fontId="1"/>
  </si>
  <si>
    <t>「あひえぇぇぇ!この艦はもう</t>
    <rPh sb="10" eb="11">
      <t>カン</t>
    </rPh>
    <phoneticPr fontId="1"/>
  </si>
  <si>
    <t>「こっからさきには、</t>
    <phoneticPr fontId="1"/>
  </si>
  <si>
    <t>　通さないだスよ!</t>
    <rPh sb="1" eb="2">
      <t>トオ</t>
    </rPh>
    <phoneticPr fontId="1"/>
  </si>
  <si>
    <t>　あとはおねがいしますぅ!</t>
    <phoneticPr fontId="1"/>
  </si>
  <si>
    <t>「ダメなわしらは</t>
    <phoneticPr fontId="1"/>
  </si>
  <si>
    <t>　おさきにしつれいだスぅ!</t>
    <phoneticPr fontId="1"/>
  </si>
  <si>
    <t>「これが最後だ!</t>
    <rPh sb="4" eb="6">
      <t>サイゴ</t>
    </rPh>
    <phoneticPr fontId="1"/>
  </si>
  <si>
    <t>「（不覚…だがやむをえまい）</t>
    <rPh sb="2" eb="4">
      <t>フカク</t>
    </rPh>
    <phoneticPr fontId="1"/>
  </si>
  <si>
    <t>「（どきどきどきどき…）</t>
    <phoneticPr fontId="1"/>
  </si>
  <si>
    <t>커비! 각오해라!!</t>
    <phoneticPr fontId="1"/>
  </si>
  <si>
    <t>어떻게 그런 일이!!</t>
    <phoneticPr fontId="1"/>
  </si>
  <si>
    <t>으헉!!</t>
    <phoneticPr fontId="1"/>
  </si>
  <si>
    <t>우린 정말 끝장임다!!</t>
    <phoneticPr fontId="1"/>
  </si>
  <si>
    <r>
      <t>크윽</t>
    </r>
    <r>
      <rPr>
        <sz val="11"/>
        <color theme="1"/>
        <rFont val="游ゴシック"/>
        <family val="3"/>
        <charset val="128"/>
        <scheme val="minor"/>
      </rPr>
      <t>……</t>
    </r>
    <r>
      <rPr>
        <sz val="11"/>
        <color theme="1"/>
        <rFont val="Malgun Gothic"/>
        <family val="2"/>
        <charset val="129"/>
      </rPr>
      <t>!!</t>
    </r>
    <phoneticPr fontId="1"/>
  </si>
  <si>
    <r>
      <rPr>
        <sz val="11"/>
        <color theme="1"/>
        <rFont val="Malgun Gothic"/>
        <family val="2"/>
        <charset val="129"/>
      </rPr>
      <t>모두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뭣들 하는 게냐!!</t>
    </r>
    <phoneticPr fontId="1"/>
  </si>
  <si>
    <t>거기 서라, 커비!!</t>
    <phoneticPr fontId="1"/>
  </si>
  <si>
    <t>나와 진정한 승부를 내자!!</t>
    <phoneticPr fontId="1"/>
  </si>
  <si>
    <r>
      <rPr>
        <sz val="11"/>
        <color theme="1"/>
        <rFont val="ＭＳ Ｐゴシック"/>
        <family val="2"/>
        <charset val="128"/>
      </rPr>
      <t>(</t>
    </r>
    <r>
      <rPr>
        <sz val="11"/>
        <color theme="1"/>
        <rFont val="Malgun Gothic"/>
        <family val="2"/>
        <charset val="129"/>
      </rPr>
      <t>불찰이다</t>
    </r>
    <r>
      <rPr>
        <sz val="11"/>
        <color theme="1"/>
        <rFont val="游ゴシック"/>
        <family val="3"/>
        <charset val="128"/>
        <scheme val="minor"/>
      </rPr>
      <t>…</t>
    </r>
    <r>
      <rPr>
        <sz val="11"/>
        <color theme="1"/>
        <rFont val="Malgun Gothic"/>
        <family val="2"/>
        <charset val="129"/>
      </rPr>
      <t xml:space="preserve"> 달리 수가 없군</t>
    </r>
    <r>
      <rPr>
        <sz val="11"/>
        <color theme="1"/>
        <rFont val="游ゴシック"/>
        <family val="2"/>
        <charset val="128"/>
      </rPr>
      <t>.)</t>
    </r>
    <phoneticPr fontId="1"/>
  </si>
  <si>
    <t>　だめだぁ!!わしは逃げるぅ!</t>
    <rPh sb="10" eb="11">
      <t>ニ</t>
    </rPh>
    <phoneticPr fontId="1"/>
  </si>
  <si>
    <t>「まて、カービィ!!</t>
    <phoneticPr fontId="1"/>
  </si>
  <si>
    <t>　至急本艦より脱出せよ!!</t>
    <rPh sb="1" eb="3">
      <t>シキュウ</t>
    </rPh>
    <rPh sb="3" eb="5">
      <t>ホンカン</t>
    </rPh>
    <rPh sb="7" eb="9">
      <t>ダッシュツ</t>
    </rPh>
    <phoneticPr fontId="1"/>
  </si>
  <si>
    <t>　右ウィングの浮力を下げろ!!</t>
    <rPh sb="1" eb="2">
      <t>ミギ</t>
    </rPh>
    <rPh sb="7" eb="9">
      <t>フリョク</t>
    </rPh>
    <rPh sb="10" eb="11">
      <t>サ</t>
    </rPh>
    <phoneticPr fontId="1"/>
  </si>
  <si>
    <t>　今、カービィはどこにいる!?</t>
    <rPh sb="1" eb="2">
      <t>イマ</t>
    </rPh>
    <phoneticPr fontId="1"/>
  </si>
  <si>
    <t>「なんだとぉ!?</t>
    <phoneticPr fontId="1"/>
  </si>
  <si>
    <t>　そ、そんなバカなっ!!</t>
    <phoneticPr fontId="1"/>
  </si>
  <si>
    <t>「げげっ!!</t>
    <phoneticPr fontId="1"/>
  </si>
  <si>
    <t>　いかがいたしましょう?</t>
    <phoneticPr fontId="1"/>
  </si>
  <si>
    <t>「いまだ!テイクオフ!</t>
    <phoneticPr fontId="1"/>
  </si>
  <si>
    <t>「そーかなー?</t>
    <phoneticPr fontId="1"/>
  </si>
  <si>
    <t>「準備はいいな?</t>
    <rPh sb="1" eb="3">
      <t>ジュンビ</t>
    </rPh>
    <phoneticPr fontId="1"/>
  </si>
  <si>
    <t>「本当にやるんですか?</t>
    <rPh sb="1" eb="3">
      <t>ホントウ</t>
    </rPh>
    <phoneticPr fontId="1"/>
  </si>
  <si>
    <t>「やかましい!やつを倒すのは、</t>
    <rPh sb="10" eb="11">
      <t>タオ</t>
    </rPh>
    <phoneticPr fontId="1"/>
  </si>
  <si>
    <t>　こんどこそアウトだスよ!!</t>
    <phoneticPr fontId="1"/>
  </si>
  <si>
    <t>　カービィ!いざ勝負!!</t>
    <rPh sb="8" eb="10">
      <t>ショウブ</t>
    </rPh>
    <phoneticPr fontId="1"/>
  </si>
  <si>
    <t>[終止符]</t>
    <rPh sb="1" eb="4">
      <t>シュウシフ</t>
    </rPh>
    <phoneticPr fontId="1"/>
  </si>
  <si>
    <t>「大王さま、</t>
    <rPh sb="1" eb="3">
      <t>ダイオウ</t>
    </rPh>
    <phoneticPr fontId="1"/>
  </si>
  <si>
    <t>　カブーラーが撃墜されました!</t>
    <rPh sb="7" eb="9">
      <t>ゲキツイ</t>
    </rPh>
    <phoneticPr fontId="1"/>
  </si>
  <si>
    <t>　こっちにやってくるぅ～っ!</t>
    <phoneticPr fontId="1"/>
  </si>
  <si>
    <t>　冷静に行動してくださいっ</t>
    <rPh sb="1" eb="3">
      <t>レイセイ</t>
    </rPh>
    <rPh sb="4" eb="6">
      <t>コウドウ</t>
    </rPh>
    <phoneticPr fontId="1"/>
  </si>
  <si>
    <t>　よ～し、ものどもであえぃ!</t>
    <phoneticPr fontId="1"/>
  </si>
  <si>
    <t>　カービィをけちらすのだっ!</t>
    <phoneticPr fontId="1"/>
  </si>
  <si>
    <t>　ゆくのだ、わがしもべよ!</t>
    <phoneticPr fontId="1"/>
  </si>
  <si>
    <t>　もうやられちゃいました!</t>
    <phoneticPr fontId="1"/>
  </si>
  <si>
    <t>　次はそうはいかんぞ～っ!</t>
    <rPh sb="1" eb="2">
      <t>ツギ</t>
    </rPh>
    <phoneticPr fontId="1"/>
  </si>
  <si>
    <t>　ニューデデデハンマーの力、</t>
    <rPh sb="12" eb="13">
      <t>チカラ</t>
    </rPh>
    <phoneticPr fontId="1"/>
  </si>
  <si>
    <t>　対決に決着をつける時…</t>
    <rPh sb="1" eb="3">
      <t>タイケツ</t>
    </rPh>
    <rPh sb="4" eb="6">
      <t>ケッチャク</t>
    </rPh>
    <rPh sb="10" eb="11">
      <t>トキ</t>
    </rPh>
    <phoneticPr fontId="1"/>
  </si>
  <si>
    <t>　さぁ、その武器をとれ!</t>
    <rPh sb="6" eb="8">
      <t>ブキ</t>
    </rPh>
    <phoneticPr fontId="1"/>
  </si>
  <si>
    <t>　みんなやられちゃった!</t>
    <phoneticPr fontId="1"/>
  </si>
  <si>
    <t>　ツイン・ファイアーライオンよ!</t>
    <phoneticPr fontId="1"/>
  </si>
  <si>
    <t>　ヤツらをよんでくるのだ!</t>
    <phoneticPr fontId="1"/>
  </si>
  <si>
    <t>　やられちゃいました!</t>
    <phoneticPr fontId="1"/>
  </si>
  <si>
    <t>　ゆけっファンファンよ!</t>
    <phoneticPr fontId="1"/>
  </si>
  <si>
    <t>　お気をたしかに!</t>
    <rPh sb="2" eb="3">
      <t>キ</t>
    </rPh>
    <phoneticPr fontId="1"/>
  </si>
  <si>
    <t>　くっ、く～やしいぃぃ～～っ!</t>
    <phoneticPr fontId="1"/>
  </si>
  <si>
    <t>　階に近づきつつあります!</t>
    <rPh sb="1" eb="2">
      <t>カイ</t>
    </rPh>
    <rPh sb="3" eb="4">
      <t>チカ</t>
    </rPh>
    <phoneticPr fontId="1"/>
  </si>
  <si>
    <t>「!!カ、カ、カービィが</t>
    <phoneticPr fontId="1"/>
  </si>
  <si>
    <t>　いかがいたしましょう!?</t>
    <phoneticPr fontId="1"/>
  </si>
  <si>
    <t>　またやられただとぉ!?</t>
    <phoneticPr fontId="1"/>
  </si>
  <si>
    <t>이쪽으로 온다는 말이냐~!</t>
    <phoneticPr fontId="1"/>
  </si>
  <si>
    <t>「落ち着いてっ、大王さま!</t>
    <rPh sb="1" eb="2">
      <t>オ</t>
    </rPh>
    <rPh sb="3" eb="4">
      <t>ツ</t>
    </rPh>
    <rPh sb="8" eb="10">
      <t>ダイオウ</t>
    </rPh>
    <phoneticPr fontId="1"/>
  </si>
  <si>
    <t>「そ、そうだな、</t>
    <phoneticPr fontId="1"/>
  </si>
  <si>
    <t>「まずはこてしらべだっ</t>
    <phoneticPr fontId="1"/>
  </si>
  <si>
    <t>「ぞんぶんに味わうがよい!</t>
    <rPh sb="6" eb="7">
      <t>アジ</t>
    </rPh>
    <phoneticPr fontId="1"/>
  </si>
  <si>
    <t>「この新兵器、</t>
    <rPh sb="3" eb="6">
      <t>シンヘイキ</t>
    </rPh>
    <phoneticPr fontId="1"/>
  </si>
  <si>
    <t>「いよいよ、おまえとの宿命の</t>
    <rPh sb="11" eb="13">
      <t>シュクメイ</t>
    </rPh>
    <phoneticPr fontId="1"/>
  </si>
  <si>
    <t>「よくぞきたカービィ……</t>
    <phoneticPr fontId="1"/>
  </si>
  <si>
    <t>「だ、だれかあのピンクだまを</t>
    <phoneticPr fontId="1"/>
  </si>
  <si>
    <t>「やっちゃえ～!</t>
    <phoneticPr fontId="1"/>
  </si>
  <si>
    <t>「そこまでだカービィ!ゆけっ</t>
    <phoneticPr fontId="1"/>
  </si>
  <si>
    <t>「りょ、了解しました!</t>
    <rPh sb="4" eb="6">
      <t>リョウカイ</t>
    </rPh>
    <phoneticPr fontId="1"/>
  </si>
  <si>
    <t>「うぬぬっ!ならばならば、</t>
    <phoneticPr fontId="1"/>
  </si>
  <si>
    <t>「大王さまっ</t>
    <rPh sb="1" eb="3">
      <t>ダイオウ</t>
    </rPh>
    <phoneticPr fontId="1"/>
  </si>
  <si>
    <t>「おのれおのれ、ピンクだまめ!</t>
    <phoneticPr fontId="1"/>
  </si>
  <si>
    <t>「カービィは、われわれのいる</t>
    <phoneticPr fontId="1"/>
  </si>
  <si>
    <t>「バカな!</t>
    <phoneticPr fontId="1"/>
  </si>
  <si>
    <t>「おのれ～い!</t>
    <phoneticPr fontId="1"/>
  </si>
  <si>
    <t>「ああっ大王さまっ</t>
    <rPh sb="4" eb="6">
      <t>ダイオウ</t>
    </rPh>
    <phoneticPr fontId="1"/>
  </si>
  <si>
    <t>같으니라고! 꾸엑!! 약 올라~!!</t>
    <phoneticPr fontId="1"/>
  </si>
  <si>
    <t>해치워라~!</t>
    <phoneticPr fontId="1"/>
  </si>
  <si>
    <t>좀 막아 줘~!!</t>
    <phoneticPr fontId="1"/>
  </si>
  <si>
    <t>　とめてくれぃ～～!!</t>
    <phoneticPr fontId="1"/>
  </si>
  <si>
    <t>「こうなれば３どめのしょうじき!</t>
    <phoneticPr fontId="1"/>
  </si>
  <si>
    <t>「大王さまっ!ファンファンも</t>
    <rPh sb="1" eb="3">
      <t>ダイオウ</t>
    </rPh>
    <phoneticPr fontId="1"/>
  </si>
  <si>
    <r>
      <t>크하하하하하하하핫</t>
    </r>
    <r>
      <rPr>
        <sz val="11"/>
        <color theme="1"/>
        <rFont val="游ゴシック"/>
        <family val="2"/>
        <charset val="128"/>
      </rPr>
      <t>!</t>
    </r>
    <phoneticPr fontId="1"/>
  </si>
  <si>
    <t>[分明][後悔]</t>
    <phoneticPr fontId="1"/>
  </si>
  <si>
    <t>まほうつかいは、</t>
    <phoneticPr fontId="1"/>
  </si>
  <si>
    <t>　　　　ほのおのまほうを、となえた!</t>
    <phoneticPr fontId="1"/>
  </si>
  <si>
    <t>　　　　こおりのまほうを、となえた!</t>
    <phoneticPr fontId="1"/>
  </si>
  <si>
    <t>　　　　ガードのまほうを、となえた!</t>
    <phoneticPr fontId="1"/>
  </si>
  <si>
    <t>まほうつかいの、こうげき!</t>
    <phoneticPr fontId="1"/>
  </si>
  <si>
    <t>あくまのきしは、</t>
    <phoneticPr fontId="1"/>
  </si>
  <si>
    <t>　　　シールドでみをかためている。</t>
    <phoneticPr fontId="1"/>
  </si>
  <si>
    <t>あくまのきしは、きあいをためた!</t>
    <phoneticPr fontId="1"/>
  </si>
  <si>
    <t>あくまのきしの、こうげき!</t>
    <phoneticPr fontId="1"/>
  </si>
  <si>
    <t>　　　ソードをふりおろした!</t>
    <phoneticPr fontId="1"/>
  </si>
  <si>
    <t>あくまのきしは、ナイフをなげた!</t>
    <phoneticPr fontId="1"/>
  </si>
  <si>
    <t>　　　ひょうけつぎりを、くりだした!</t>
    <phoneticPr fontId="1"/>
  </si>
  <si>
    <t>グランドドラゴンは、</t>
    <phoneticPr fontId="1"/>
  </si>
  <si>
    <t>　　　するどいツメで、ひっかいた!</t>
    <phoneticPr fontId="1"/>
  </si>
  <si>
    <t>　　　　みをかためている。</t>
    <phoneticPr fontId="1"/>
  </si>
  <si>
    <t>グランドドラゴンの、こうげき!</t>
    <phoneticPr fontId="1"/>
  </si>
  <si>
    <t>　　ほのおのブレスを、はきだした!</t>
    <phoneticPr fontId="1"/>
  </si>
  <si>
    <t>　　　つばさをおおきく、はばたかせた!</t>
    <phoneticPr fontId="1"/>
  </si>
  <si>
    <t>마법사는</t>
    <phoneticPr fontId="1"/>
  </si>
  <si>
    <t>방어 마법의 주문을 외웠다!</t>
    <phoneticPr fontId="1"/>
  </si>
  <si>
    <t>마법사의 공격!</t>
    <phoneticPr fontId="1"/>
  </si>
  <si>
    <t>커비는 공격을 피했다!</t>
    <phoneticPr fontId="1"/>
  </si>
  <si>
    <t>얼음 마법의 주문을 외웠다!</t>
    <phoneticPr fontId="1"/>
  </si>
  <si>
    <t>불꽃 마법의 주문을 외웠다!</t>
    <phoneticPr fontId="1"/>
  </si>
  <si>
    <r>
      <rPr>
        <sz val="11"/>
        <color theme="1"/>
        <rFont val="Malgun Gothic"/>
        <family val="2"/>
        <charset val="129"/>
      </rPr>
      <t>악마의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기사</t>
    </r>
    <r>
      <rPr>
        <sz val="11"/>
        <color theme="1"/>
        <rFont val="Malgun Gothic"/>
        <family val="3"/>
        <charset val="129"/>
      </rPr>
      <t>는 칼을 던졌다!</t>
    </r>
    <phoneticPr fontId="1"/>
  </si>
  <si>
    <t>악마의 기사는</t>
    <phoneticPr fontId="1"/>
  </si>
  <si>
    <t>실드로 몸을 방어하고 있다.</t>
    <phoneticPr fontId="1"/>
  </si>
  <si>
    <t>악바의 기사의 공격!</t>
    <phoneticPr fontId="1"/>
  </si>
  <si>
    <t>검을 내려쳤다!</t>
    <phoneticPr fontId="1"/>
  </si>
  <si>
    <t>악마의 기사는 파워를 모았다!</t>
    <phoneticPr fontId="1"/>
  </si>
  <si>
    <t>빙결 베기 공격을 했다!</t>
    <phoneticPr fontId="1"/>
  </si>
  <si>
    <r>
      <rPr>
        <sz val="11"/>
        <color theme="1"/>
        <rFont val="Malgun Gothic"/>
        <family val="2"/>
        <charset val="129"/>
      </rPr>
      <t>그랜드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드래곤</t>
    </r>
    <r>
      <rPr>
        <sz val="11"/>
        <color theme="1"/>
        <rFont val="Malgun Gothic"/>
        <family val="3"/>
        <charset val="129"/>
      </rPr>
      <t>은</t>
    </r>
    <phoneticPr fontId="1"/>
  </si>
  <si>
    <t>크게 날갯짓을 했다!</t>
    <phoneticPr fontId="1"/>
  </si>
  <si>
    <t>화염 브레스를 내뿜었다!</t>
    <phoneticPr fontId="1"/>
  </si>
  <si>
    <t>방어 태세에 들어갔다.</t>
    <phoneticPr fontId="1"/>
  </si>
  <si>
    <t>[攻擊]</t>
  </si>
  <si>
    <t>[魔法][呪文]</t>
  </si>
  <si>
    <t>[魔法][呪文]</t>
    <phoneticPr fontId="1"/>
  </si>
  <si>
    <t>[防禦][魔法][呪文]</t>
    <phoneticPr fontId="1"/>
  </si>
  <si>
    <t>[劍]</t>
    <phoneticPr fontId="1"/>
  </si>
  <si>
    <t>[氷結][攻擊]</t>
    <phoneticPr fontId="1"/>
  </si>
  <si>
    <t>[power]</t>
    <phoneticPr fontId="1"/>
  </si>
  <si>
    <t>[shield][防禦]</t>
    <phoneticPr fontId="1"/>
  </si>
  <si>
    <t>[火焰][breath]</t>
    <phoneticPr fontId="1"/>
  </si>
  <si>
    <t>[防禦 態勢]</t>
    <phoneticPr fontId="1"/>
  </si>
  <si>
    <t>[攻擊][避]</t>
    <phoneticPr fontId="1"/>
  </si>
  <si>
    <r>
      <rPr>
        <sz val="11"/>
        <color theme="1"/>
        <rFont val="Malgun Gothic"/>
        <family val="2"/>
        <charset val="129"/>
      </rPr>
      <t>그랜드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Malgun Gothic"/>
        <family val="2"/>
        <charset val="129"/>
      </rPr>
      <t>드래곤의 공격!</t>
    </r>
    <phoneticPr fontId="1"/>
  </si>
  <si>
    <t>날카로운 발톱으로 할튀었다!</t>
    <phoneticPr fontId="1"/>
  </si>
  <si>
    <t xml:space="preserve">  55+2/11</t>
    <phoneticPr fontId="1"/>
  </si>
  <si>
    <t xml:space="preserve">  49+2/11</t>
    <phoneticPr fontId="1"/>
  </si>
  <si>
    <t>147+6/11</t>
    <phoneticPr fontId="1"/>
  </si>
  <si>
    <t>165+6/11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</si>
</sst>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algun Gothic"/>
      <family val="2"/>
      <charset val="129"/>
    </font>
    <font>
      <sz val="11"/>
      <color theme="1"/>
      <name val="游ゴシック"/>
      <family val="2"/>
      <charset val="129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Malgun Gothic"/>
      <family val="2"/>
    </font>
    <font>
      <sz val="10.5"/>
      <color theme="1"/>
      <name val="Malgun Gothic"/>
      <family val="2"/>
    </font>
    <font>
      <sz val="11"/>
      <color theme="1"/>
      <name val="游ゴシック"/>
      <family val="2"/>
      <charset val="128"/>
    </font>
    <font>
      <sz val="11"/>
      <color theme="1"/>
      <name val="Calibri"/>
      <family val="2"/>
    </font>
    <font>
      <sz val="11"/>
      <color theme="1"/>
      <name val="游ゴシック"/>
      <family val="2"/>
      <charset val="129"/>
    </font>
    <font>
      <sz val="11"/>
      <color theme="1"/>
      <name val="ＭＳ Ｐゴシック"/>
      <family val="2"/>
      <charset val="128"/>
    </font>
    <font>
      <sz val="11"/>
      <color theme="1"/>
      <name val="游ゴシック"/>
      <family val="3"/>
      <charset val="129"/>
      <scheme val="minor"/>
    </font>
    <font>
      <sz val="1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11"/>
      <name val="游ゴシック"/>
      <family val="2"/>
      <charset val="129"/>
      <scheme val="minor"/>
    </font>
    <font>
      <sz val="11"/>
      <color theme="1"/>
      <name val="Malgun Gothic"/>
      <family val="2"/>
      <charset val="128"/>
    </font>
    <font>
      <sz val="11"/>
      <color theme="1"/>
      <name val="Malgun Gothic"/>
      <family val="3"/>
      <charset val="129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2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2" fontId="0" fillId="0" borderId="0" xfId="0" applyNumberFormat="1" applyBorder="1">
      <alignment vertical="center"/>
    </xf>
    <xf numFmtId="2" fontId="0" fillId="0" borderId="2" xfId="0" applyNumberFormat="1" applyBorder="1">
      <alignment vertical="center"/>
    </xf>
    <xf numFmtId="2" fontId="0" fillId="0" borderId="1" xfId="0" applyNumberFormat="1" applyBorder="1">
      <alignment vertical="center"/>
    </xf>
    <xf numFmtId="0" fontId="2" fillId="0" borderId="10" xfId="0" applyFont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4" fillId="0" borderId="16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14" xfId="0" applyFont="1" applyBorder="1">
      <alignment vertical="center"/>
    </xf>
    <xf numFmtId="0" fontId="0" fillId="0" borderId="19" xfId="0" applyBorder="1">
      <alignment vertical="center"/>
    </xf>
    <xf numFmtId="0" fontId="5" fillId="0" borderId="19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3" xfId="0" applyFont="1" applyBorder="1">
      <alignment vertical="center"/>
    </xf>
    <xf numFmtId="1" fontId="0" fillId="0" borderId="7" xfId="0" applyNumberFormat="1" applyBorder="1">
      <alignment vertical="center"/>
    </xf>
    <xf numFmtId="1" fontId="0" fillId="0" borderId="9" xfId="0" applyNumberFormat="1" applyBorder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2" fillId="0" borderId="19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4" xfId="0" applyFont="1" applyBorder="1">
      <alignment vertical="center"/>
    </xf>
    <xf numFmtId="0" fontId="9" fillId="0" borderId="4" xfId="0" applyFont="1" applyBorder="1">
      <alignment vertical="center"/>
    </xf>
    <xf numFmtId="0" fontId="2" fillId="0" borderId="3" xfId="0" applyFont="1" applyBorder="1">
      <alignment vertical="center"/>
    </xf>
    <xf numFmtId="0" fontId="9" fillId="0" borderId="5" xfId="0" applyFont="1" applyBorder="1">
      <alignment vertical="center"/>
    </xf>
    <xf numFmtId="0" fontId="3" fillId="0" borderId="3" xfId="0" applyFont="1" applyBorder="1">
      <alignment vertical="center"/>
    </xf>
    <xf numFmtId="0" fontId="4" fillId="0" borderId="4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3" xfId="0" applyFont="1" applyFill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2" fillId="0" borderId="23" xfId="0" applyFont="1" applyBorder="1">
      <alignment vertical="center"/>
    </xf>
    <xf numFmtId="0" fontId="4" fillId="0" borderId="16" xfId="0" applyFont="1" applyBorder="1" applyAlignment="1">
      <alignment vertical="center"/>
    </xf>
    <xf numFmtId="0" fontId="4" fillId="0" borderId="27" xfId="0" applyFont="1" applyBorder="1">
      <alignment vertical="center"/>
    </xf>
    <xf numFmtId="0" fontId="4" fillId="0" borderId="30" xfId="0" applyFont="1" applyBorder="1">
      <alignment vertical="center"/>
    </xf>
    <xf numFmtId="0" fontId="12" fillId="0" borderId="16" xfId="0" applyFont="1" applyBorder="1">
      <alignment vertical="center"/>
    </xf>
    <xf numFmtId="0" fontId="12" fillId="0" borderId="18" xfId="0" applyFont="1" applyBorder="1">
      <alignment vertical="center"/>
    </xf>
    <xf numFmtId="0" fontId="13" fillId="0" borderId="16" xfId="0" applyFont="1" applyBorder="1">
      <alignment vertical="center"/>
    </xf>
    <xf numFmtId="0" fontId="4" fillId="0" borderId="24" xfId="0" applyFont="1" applyBorder="1">
      <alignment vertical="center"/>
    </xf>
    <xf numFmtId="0" fontId="4" fillId="0" borderId="25" xfId="0" applyFont="1" applyBorder="1">
      <alignment vertical="center"/>
    </xf>
    <xf numFmtId="0" fontId="4" fillId="0" borderId="21" xfId="0" applyFont="1" applyBorder="1">
      <alignment vertical="center"/>
    </xf>
    <xf numFmtId="2" fontId="4" fillId="0" borderId="3" xfId="0" applyNumberFormat="1" applyFont="1" applyBorder="1">
      <alignment vertical="center"/>
    </xf>
    <xf numFmtId="0" fontId="4" fillId="0" borderId="29" xfId="0" applyFont="1" applyBorder="1">
      <alignment vertical="center"/>
    </xf>
    <xf numFmtId="2" fontId="4" fillId="0" borderId="4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4" fillId="0" borderId="28" xfId="0" applyFont="1" applyBorder="1">
      <alignment vertical="center"/>
    </xf>
    <xf numFmtId="0" fontId="5" fillId="0" borderId="15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7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7" xfId="0" applyFont="1" applyBorder="1">
      <alignment vertical="center"/>
    </xf>
    <xf numFmtId="0" fontId="5" fillId="0" borderId="30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3" xfId="0" applyFont="1" applyBorder="1">
      <alignment vertical="center"/>
    </xf>
    <xf numFmtId="0" fontId="5" fillId="0" borderId="26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4" fillId="0" borderId="19" xfId="0" applyFont="1" applyBorder="1">
      <alignment vertical="center"/>
    </xf>
    <xf numFmtId="0" fontId="15" fillId="0" borderId="4" xfId="0" applyFont="1" applyBorder="1">
      <alignment vertical="center"/>
    </xf>
    <xf numFmtId="0" fontId="0" fillId="0" borderId="10" xfId="0" applyBorder="1">
      <alignment vertical="center"/>
    </xf>
    <xf numFmtId="0" fontId="2" fillId="0" borderId="11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0" fillId="0" borderId="31" xfId="0" applyBorder="1">
      <alignment vertical="center"/>
    </xf>
    <xf numFmtId="0" fontId="4" fillId="0" borderId="32" xfId="0" applyFont="1" applyBorder="1">
      <alignment vertical="center"/>
    </xf>
    <xf numFmtId="0" fontId="0" fillId="0" borderId="13" xfId="0" applyBorder="1">
      <alignment vertical="center"/>
    </xf>
    <xf numFmtId="0" fontId="0" fillId="0" borderId="17" xfId="0" applyBorder="1">
      <alignment vertical="center"/>
    </xf>
    <xf numFmtId="0" fontId="0" fillId="0" borderId="33" xfId="0" applyBorder="1">
      <alignment vertical="center"/>
    </xf>
    <xf numFmtId="0" fontId="5" fillId="0" borderId="27" xfId="0" applyFont="1" applyBorder="1">
      <alignment vertical="center"/>
    </xf>
    <xf numFmtId="0" fontId="4" fillId="0" borderId="27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14" xfId="0" applyBorder="1">
      <alignment vertical="center"/>
    </xf>
    <xf numFmtId="0" fontId="0" fillId="0" borderId="18" xfId="0" applyBorder="1">
      <alignment vertical="center"/>
    </xf>
    <xf numFmtId="0" fontId="2" fillId="0" borderId="18" xfId="0" applyFont="1" applyBorder="1">
      <alignment vertical="center"/>
    </xf>
    <xf numFmtId="0" fontId="2" fillId="0" borderId="14" xfId="0" applyFont="1" applyBorder="1">
      <alignment vertical="center"/>
    </xf>
    <xf numFmtId="0" fontId="0" fillId="0" borderId="16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0" xfId="0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20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22" xfId="0" applyBorder="1">
      <alignment vertical="center"/>
    </xf>
    <xf numFmtId="0" fontId="4" fillId="0" borderId="22" xfId="0" applyFont="1" applyBorder="1">
      <alignment vertical="center"/>
    </xf>
    <xf numFmtId="0" fontId="4" fillId="0" borderId="19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8291-43D0-4DCD-B7FD-9AAE25044147}">
  <dimension ref="A1:E106"/>
  <sheetViews>
    <sheetView tabSelected="1" topLeftCell="A48" zoomScaleNormal="100" workbookViewId="0">
      <selection activeCell="D63" sqref="D63"/>
    </sheetView>
  </sheetViews>
  <sheetFormatPr defaultRowHeight="18" x14ac:dyDescent="0.45"/>
  <cols>
    <col min="1" max="1" width="26.59765625" bestFit="1" customWidth="1"/>
    <col min="2" max="2" width="34.69921875" bestFit="1" customWidth="1"/>
    <col min="3" max="3" width="7.69921875" bestFit="1" customWidth="1"/>
    <col min="4" max="4" width="33.19921875" bestFit="1" customWidth="1"/>
  </cols>
  <sheetData>
    <row r="1" spans="1:5" x14ac:dyDescent="0.45">
      <c r="A1" s="41" t="s">
        <v>50</v>
      </c>
      <c r="B1" s="48" t="s">
        <v>49</v>
      </c>
      <c r="C1" s="48" t="s">
        <v>48</v>
      </c>
      <c r="D1" s="49" t="s">
        <v>47</v>
      </c>
    </row>
    <row r="2" spans="1:5" x14ac:dyDescent="0.45">
      <c r="A2" s="56" t="s">
        <v>382</v>
      </c>
      <c r="B2" s="38" t="s">
        <v>375</v>
      </c>
      <c r="C2" s="38">
        <f>2-4</f>
        <v>-2</v>
      </c>
      <c r="D2" s="16" t="s">
        <v>284</v>
      </c>
    </row>
    <row r="3" spans="1:5" x14ac:dyDescent="0.45">
      <c r="A3" s="56" t="s">
        <v>383</v>
      </c>
      <c r="B3" s="38" t="s">
        <v>376</v>
      </c>
      <c r="C3" s="38">
        <f>2-4</f>
        <v>-2</v>
      </c>
      <c r="D3" s="16" t="s">
        <v>385</v>
      </c>
    </row>
    <row r="4" spans="1:5" x14ac:dyDescent="0.45">
      <c r="A4" s="56" t="s">
        <v>384</v>
      </c>
      <c r="B4" s="38" t="s">
        <v>377</v>
      </c>
      <c r="C4" s="38">
        <f>6-5</f>
        <v>1</v>
      </c>
      <c r="D4" s="16" t="s">
        <v>283</v>
      </c>
    </row>
    <row r="5" spans="1:5" x14ac:dyDescent="0.45">
      <c r="A5" s="57" t="s">
        <v>0</v>
      </c>
      <c r="B5" s="38" t="s">
        <v>1</v>
      </c>
      <c r="C5" s="38">
        <f>3-4</f>
        <v>-1</v>
      </c>
      <c r="D5" s="16" t="s">
        <v>353</v>
      </c>
    </row>
    <row r="6" spans="1:5" x14ac:dyDescent="0.45">
      <c r="A6" s="57" t="s">
        <v>8</v>
      </c>
      <c r="B6" s="38" t="s">
        <v>2</v>
      </c>
      <c r="C6" s="38">
        <f>4-8</f>
        <v>-4</v>
      </c>
      <c r="D6" s="16" t="s">
        <v>354</v>
      </c>
    </row>
    <row r="7" spans="1:5" x14ac:dyDescent="0.45">
      <c r="A7" s="57" t="s">
        <v>9</v>
      </c>
      <c r="B7" s="38" t="s">
        <v>3</v>
      </c>
      <c r="C7" s="38">
        <f>3-6</f>
        <v>-3</v>
      </c>
      <c r="D7" s="16" t="s">
        <v>41</v>
      </c>
    </row>
    <row r="8" spans="1:5" x14ac:dyDescent="0.45">
      <c r="A8" s="57" t="s">
        <v>32</v>
      </c>
      <c r="B8" s="38" t="s">
        <v>34</v>
      </c>
      <c r="C8" s="38">
        <f>6-6</f>
        <v>0</v>
      </c>
      <c r="D8" s="16" t="s">
        <v>409</v>
      </c>
    </row>
    <row r="9" spans="1:5" x14ac:dyDescent="0.45">
      <c r="A9" s="58" t="s">
        <v>33</v>
      </c>
      <c r="B9" s="39" t="s">
        <v>35</v>
      </c>
      <c r="C9" s="39">
        <f>7-8</f>
        <v>-1</v>
      </c>
      <c r="D9" s="17" t="s">
        <v>357</v>
      </c>
    </row>
    <row r="10" spans="1:5" x14ac:dyDescent="0.45">
      <c r="A10" s="59"/>
      <c r="B10" s="50"/>
      <c r="C10" s="50"/>
      <c r="D10" s="50"/>
      <c r="E10" s="4"/>
    </row>
    <row r="11" spans="1:5" x14ac:dyDescent="0.45">
      <c r="A11" s="60" t="s">
        <v>29</v>
      </c>
      <c r="B11" s="40" t="s">
        <v>13</v>
      </c>
      <c r="C11" s="40">
        <f>2-3</f>
        <v>-1</v>
      </c>
      <c r="D11" s="18" t="s">
        <v>374</v>
      </c>
    </row>
    <row r="12" spans="1:5" x14ac:dyDescent="0.45">
      <c r="A12" s="56" t="s">
        <v>31</v>
      </c>
      <c r="B12" s="38" t="s">
        <v>14</v>
      </c>
      <c r="C12" s="38">
        <f>8-6</f>
        <v>2</v>
      </c>
      <c r="D12" s="16" t="s">
        <v>355</v>
      </c>
    </row>
    <row r="13" spans="1:5" x14ac:dyDescent="0.45">
      <c r="A13" s="56" t="s">
        <v>42</v>
      </c>
      <c r="B13" s="38" t="s">
        <v>15</v>
      </c>
      <c r="C13" s="38">
        <f>8-5</f>
        <v>3</v>
      </c>
      <c r="D13" s="16" t="s">
        <v>356</v>
      </c>
    </row>
    <row r="14" spans="1:5" x14ac:dyDescent="0.45">
      <c r="A14" s="56" t="s">
        <v>27</v>
      </c>
      <c r="B14" s="38" t="s">
        <v>16</v>
      </c>
      <c r="C14" s="38">
        <f>4-5</f>
        <v>-1</v>
      </c>
      <c r="D14" s="16"/>
    </row>
    <row r="15" spans="1:5" x14ac:dyDescent="0.45">
      <c r="A15" s="56" t="s">
        <v>30</v>
      </c>
      <c r="B15" s="38" t="s">
        <v>17</v>
      </c>
      <c r="C15" s="38">
        <f>5-4</f>
        <v>1</v>
      </c>
      <c r="D15" s="16"/>
    </row>
    <row r="16" spans="1:5" x14ac:dyDescent="0.45">
      <c r="A16" s="56" t="s">
        <v>396</v>
      </c>
      <c r="B16" s="38" t="s">
        <v>18</v>
      </c>
      <c r="C16" s="38">
        <f>5-7</f>
        <v>-2</v>
      </c>
      <c r="D16" s="16" t="s">
        <v>43</v>
      </c>
    </row>
    <row r="17" spans="1:5" x14ac:dyDescent="0.45">
      <c r="A17" s="56" t="s">
        <v>28</v>
      </c>
      <c r="B17" s="38" t="s">
        <v>19</v>
      </c>
      <c r="C17" s="38">
        <f>8-7</f>
        <v>1</v>
      </c>
      <c r="D17" s="16"/>
    </row>
    <row r="18" spans="1:5" x14ac:dyDescent="0.45">
      <c r="A18" s="56" t="s">
        <v>25</v>
      </c>
      <c r="B18" s="38" t="s">
        <v>20</v>
      </c>
      <c r="C18" s="38">
        <f>3-3</f>
        <v>0</v>
      </c>
      <c r="D18" s="16" t="s">
        <v>363</v>
      </c>
    </row>
    <row r="19" spans="1:5" x14ac:dyDescent="0.45">
      <c r="A19" s="56" t="s">
        <v>26</v>
      </c>
      <c r="B19" s="38" t="s">
        <v>21</v>
      </c>
      <c r="C19" s="38">
        <f>5-6</f>
        <v>-1</v>
      </c>
      <c r="D19" s="16"/>
    </row>
    <row r="20" spans="1:5" x14ac:dyDescent="0.45">
      <c r="A20" s="56" t="s">
        <v>44</v>
      </c>
      <c r="B20" s="38" t="s">
        <v>22</v>
      </c>
      <c r="C20" s="38">
        <f>6-4</f>
        <v>2</v>
      </c>
      <c r="D20" s="16" t="s">
        <v>45</v>
      </c>
    </row>
    <row r="21" spans="1:5" x14ac:dyDescent="0.45">
      <c r="A21" s="56" t="s">
        <v>24</v>
      </c>
      <c r="B21" s="38" t="s">
        <v>23</v>
      </c>
      <c r="C21" s="38">
        <f>2-3</f>
        <v>-1</v>
      </c>
      <c r="D21" s="16" t="s">
        <v>46</v>
      </c>
    </row>
    <row r="22" spans="1:5" x14ac:dyDescent="0.45">
      <c r="A22" s="61" t="s">
        <v>135</v>
      </c>
      <c r="B22" s="38" t="s">
        <v>372</v>
      </c>
      <c r="C22" s="38">
        <f>2-5</f>
        <v>-3</v>
      </c>
      <c r="D22" s="16" t="s">
        <v>136</v>
      </c>
    </row>
    <row r="23" spans="1:5" x14ac:dyDescent="0.45">
      <c r="A23" s="62"/>
      <c r="B23" s="44" t="s">
        <v>38</v>
      </c>
      <c r="C23" s="51">
        <f>5*SUM(C11:C21)/11+C22</f>
        <v>-1.6363636363636365</v>
      </c>
      <c r="D23" s="52"/>
      <c r="E23" s="4"/>
    </row>
    <row r="24" spans="1:5" x14ac:dyDescent="0.45">
      <c r="A24" s="60" t="s">
        <v>29</v>
      </c>
      <c r="B24" s="38" t="s">
        <v>13</v>
      </c>
      <c r="C24" s="38">
        <f>2-3</f>
        <v>-1</v>
      </c>
      <c r="D24" s="18" t="s">
        <v>374</v>
      </c>
      <c r="E24" s="4"/>
    </row>
    <row r="25" spans="1:5" x14ac:dyDescent="0.45">
      <c r="A25" s="56" t="s">
        <v>400</v>
      </c>
      <c r="B25" s="38" t="s">
        <v>368</v>
      </c>
      <c r="C25" s="38">
        <f>6-5</f>
        <v>1</v>
      </c>
      <c r="D25" s="45" t="s">
        <v>392</v>
      </c>
    </row>
    <row r="26" spans="1:5" x14ac:dyDescent="0.45">
      <c r="A26" s="56" t="s">
        <v>390</v>
      </c>
      <c r="B26" s="38" t="s">
        <v>365</v>
      </c>
      <c r="C26" s="38">
        <f>5-4</f>
        <v>1</v>
      </c>
      <c r="D26" s="45" t="s">
        <v>391</v>
      </c>
    </row>
    <row r="27" spans="1:5" x14ac:dyDescent="0.45">
      <c r="A27" s="56" t="s">
        <v>402</v>
      </c>
      <c r="B27" s="38" t="s">
        <v>366</v>
      </c>
      <c r="C27" s="38">
        <f>6-5</f>
        <v>1</v>
      </c>
      <c r="D27" s="46"/>
    </row>
    <row r="28" spans="1:5" x14ac:dyDescent="0.45">
      <c r="A28" s="56" t="s">
        <v>389</v>
      </c>
      <c r="B28" s="38" t="s">
        <v>367</v>
      </c>
      <c r="C28" s="52">
        <f>3-7</f>
        <v>-4</v>
      </c>
      <c r="D28" s="47" t="s">
        <v>393</v>
      </c>
    </row>
    <row r="29" spans="1:5" x14ac:dyDescent="0.45">
      <c r="A29" s="56" t="s">
        <v>396</v>
      </c>
      <c r="B29" s="38" t="s">
        <v>18</v>
      </c>
      <c r="C29" s="38">
        <f>5-7</f>
        <v>-2</v>
      </c>
      <c r="D29" s="16" t="s">
        <v>43</v>
      </c>
    </row>
    <row r="30" spans="1:5" x14ac:dyDescent="0.45">
      <c r="A30" s="56" t="s">
        <v>397</v>
      </c>
      <c r="B30" s="38" t="s">
        <v>364</v>
      </c>
      <c r="C30" s="38">
        <f>4-4</f>
        <v>0</v>
      </c>
      <c r="D30" s="45"/>
    </row>
    <row r="31" spans="1:5" x14ac:dyDescent="0.45">
      <c r="A31" s="56" t="s">
        <v>388</v>
      </c>
      <c r="B31" s="38" t="s">
        <v>369</v>
      </c>
      <c r="C31" s="38">
        <f>4-5</f>
        <v>-1</v>
      </c>
      <c r="D31" s="45"/>
    </row>
    <row r="32" spans="1:5" x14ac:dyDescent="0.45">
      <c r="A32" s="56" t="s">
        <v>394</v>
      </c>
      <c r="B32" s="38" t="s">
        <v>370</v>
      </c>
      <c r="C32" s="38">
        <f>4-6</f>
        <v>-2</v>
      </c>
      <c r="D32" s="45" t="s">
        <v>395</v>
      </c>
    </row>
    <row r="33" spans="1:4" x14ac:dyDescent="0.45">
      <c r="A33" s="56" t="s">
        <v>398</v>
      </c>
      <c r="B33" s="38" t="s">
        <v>371</v>
      </c>
      <c r="C33" s="38">
        <f>6-6</f>
        <v>0</v>
      </c>
      <c r="D33" s="45" t="s">
        <v>399</v>
      </c>
    </row>
    <row r="34" spans="1:4" x14ac:dyDescent="0.45">
      <c r="A34" s="56" t="s">
        <v>25</v>
      </c>
      <c r="B34" s="38" t="s">
        <v>20</v>
      </c>
      <c r="C34" s="38">
        <f>3-3</f>
        <v>0</v>
      </c>
      <c r="D34" s="16" t="s">
        <v>363</v>
      </c>
    </row>
    <row r="35" spans="1:4" x14ac:dyDescent="0.45">
      <c r="A35" s="56" t="s">
        <v>403</v>
      </c>
      <c r="B35" s="38" t="s">
        <v>373</v>
      </c>
      <c r="C35" s="38">
        <f>8-7</f>
        <v>1</v>
      </c>
      <c r="D35" s="45" t="s">
        <v>401</v>
      </c>
    </row>
    <row r="36" spans="1:4" x14ac:dyDescent="0.45">
      <c r="A36" s="61"/>
      <c r="B36" s="39" t="s">
        <v>407</v>
      </c>
      <c r="C36" s="53">
        <f>5*SUM(C24:C34)/11+C35</f>
        <v>-2.1818181818181817</v>
      </c>
      <c r="D36" s="17" t="s">
        <v>408</v>
      </c>
    </row>
    <row r="37" spans="1:4" x14ac:dyDescent="0.45">
      <c r="A37" s="63"/>
      <c r="B37" s="50"/>
      <c r="C37" s="50"/>
      <c r="D37" s="54"/>
    </row>
    <row r="38" spans="1:4" x14ac:dyDescent="0.45">
      <c r="A38" s="64" t="s">
        <v>4</v>
      </c>
      <c r="B38" s="40" t="s">
        <v>5</v>
      </c>
      <c r="C38" s="40">
        <f>7-8</f>
        <v>-1</v>
      </c>
      <c r="D38" s="18"/>
    </row>
    <row r="39" spans="1:4" x14ac:dyDescent="0.45">
      <c r="A39" s="57" t="s">
        <v>6</v>
      </c>
      <c r="B39" s="38" t="s">
        <v>7</v>
      </c>
      <c r="C39" s="38">
        <f>7-8</f>
        <v>-1</v>
      </c>
      <c r="D39" s="16"/>
    </row>
    <row r="40" spans="1:4" x14ac:dyDescent="0.45">
      <c r="A40" s="56" t="s">
        <v>60</v>
      </c>
      <c r="B40" s="38" t="s">
        <v>56</v>
      </c>
      <c r="C40" s="95">
        <f>13-15</f>
        <v>-2</v>
      </c>
      <c r="D40" s="42" t="s">
        <v>130</v>
      </c>
    </row>
    <row r="41" spans="1:4" x14ac:dyDescent="0.45">
      <c r="A41" s="56" t="s">
        <v>59</v>
      </c>
      <c r="B41" s="38" t="s">
        <v>57</v>
      </c>
      <c r="C41" s="96"/>
      <c r="D41" s="42" t="s">
        <v>358</v>
      </c>
    </row>
    <row r="42" spans="1:4" x14ac:dyDescent="0.45">
      <c r="A42" s="57" t="s">
        <v>379</v>
      </c>
      <c r="B42" s="38" t="s">
        <v>378</v>
      </c>
      <c r="C42" s="38">
        <f>9-9</f>
        <v>0</v>
      </c>
      <c r="D42" s="16" t="s">
        <v>61</v>
      </c>
    </row>
    <row r="43" spans="1:4" x14ac:dyDescent="0.45">
      <c r="A43" s="57" t="s">
        <v>380</v>
      </c>
      <c r="B43" s="38" t="s">
        <v>381</v>
      </c>
      <c r="C43" s="38">
        <f>13-14</f>
        <v>-1</v>
      </c>
      <c r="D43" s="16"/>
    </row>
    <row r="44" spans="1:4" x14ac:dyDescent="0.45">
      <c r="A44" s="56" t="s">
        <v>52</v>
      </c>
      <c r="B44" s="38" t="s">
        <v>36</v>
      </c>
      <c r="C44" s="95">
        <f>22-23</f>
        <v>-1</v>
      </c>
      <c r="D44" s="16" t="s">
        <v>51</v>
      </c>
    </row>
    <row r="45" spans="1:4" x14ac:dyDescent="0.45">
      <c r="A45" s="56" t="s">
        <v>11</v>
      </c>
      <c r="B45" s="38" t="s">
        <v>54</v>
      </c>
      <c r="C45" s="96"/>
      <c r="D45" s="16" t="s">
        <v>360</v>
      </c>
    </row>
    <row r="46" spans="1:4" x14ac:dyDescent="0.45">
      <c r="A46" s="56" t="s">
        <v>12</v>
      </c>
      <c r="B46" s="38" t="s">
        <v>10</v>
      </c>
      <c r="C46" s="95">
        <f>9-14</f>
        <v>-5</v>
      </c>
      <c r="D46" s="16" t="s">
        <v>404</v>
      </c>
    </row>
    <row r="47" spans="1:4" ht="18.600000000000001" thickBot="1" x14ac:dyDescent="0.5">
      <c r="A47" s="65" t="s">
        <v>37</v>
      </c>
      <c r="B47" s="43" t="s">
        <v>58</v>
      </c>
      <c r="C47" s="97"/>
      <c r="D47" s="55" t="s">
        <v>359</v>
      </c>
    </row>
    <row r="49" spans="1:4" x14ac:dyDescent="0.45">
      <c r="B49" s="8" t="s">
        <v>39</v>
      </c>
      <c r="C49" s="11">
        <f>2*(SUM(C5:C7))+3*(C38+C39)+C2+C43+C44+C23+6*C46</f>
        <v>-57.63636363636364</v>
      </c>
      <c r="D49" s="6" t="s">
        <v>86</v>
      </c>
    </row>
    <row r="50" spans="1:4" x14ac:dyDescent="0.45">
      <c r="B50" s="9"/>
      <c r="C50" s="12">
        <f>3*C49</f>
        <v>-172.90909090909093</v>
      </c>
      <c r="D50" s="7" t="s">
        <v>55</v>
      </c>
    </row>
    <row r="51" spans="1:4" x14ac:dyDescent="0.45">
      <c r="B51" s="4"/>
      <c r="C51" s="10"/>
      <c r="D51" s="4"/>
    </row>
    <row r="52" spans="1:4" x14ac:dyDescent="0.45">
      <c r="B52" s="8" t="s">
        <v>40</v>
      </c>
      <c r="C52" s="11">
        <f>2*(C7+C8)+3*(C9+C38+C39)+C40+2*C2+C42+C43+C44+C23+6*C46</f>
        <v>-54.63636363636364</v>
      </c>
      <c r="D52" s="6" t="s">
        <v>132</v>
      </c>
    </row>
    <row r="53" spans="1:4" x14ac:dyDescent="0.45">
      <c r="B53" s="9"/>
      <c r="C53" s="12">
        <f>3*C52</f>
        <v>-163.90909090909093</v>
      </c>
      <c r="D53" s="7" t="s">
        <v>133</v>
      </c>
    </row>
    <row r="54" spans="1:4" x14ac:dyDescent="0.45">
      <c r="A54" s="1"/>
      <c r="C54" s="3"/>
    </row>
    <row r="55" spans="1:4" x14ac:dyDescent="0.45">
      <c r="A55" s="2"/>
      <c r="B55" s="8" t="s">
        <v>405</v>
      </c>
      <c r="C55" s="24">
        <f>2*(C7+C8)+3*(C9+C38+C39)+C40+C2+C42</f>
        <v>-19</v>
      </c>
      <c r="D55" s="4"/>
    </row>
    <row r="56" spans="1:4" x14ac:dyDescent="0.45">
      <c r="B56" s="9"/>
      <c r="C56" s="25">
        <f>3*C55</f>
        <v>-57</v>
      </c>
      <c r="D56" s="4"/>
    </row>
    <row r="57" spans="1:4" x14ac:dyDescent="0.45">
      <c r="C57" s="3"/>
    </row>
    <row r="58" spans="1:4" x14ac:dyDescent="0.45">
      <c r="B58" s="8" t="s">
        <v>406</v>
      </c>
      <c r="C58" s="24">
        <f>2*(C7)+3*(C8+C9+C38+C39)+2*C40+2*C3+C42+C43</f>
        <v>-24</v>
      </c>
      <c r="D58" s="4"/>
    </row>
    <row r="59" spans="1:4" x14ac:dyDescent="0.45">
      <c r="B59" s="9"/>
      <c r="C59" s="25">
        <f>3*C58</f>
        <v>-72</v>
      </c>
      <c r="D59" s="4"/>
    </row>
    <row r="60" spans="1:4" x14ac:dyDescent="0.45">
      <c r="C60" s="3"/>
    </row>
    <row r="61" spans="1:4" x14ac:dyDescent="0.45">
      <c r="B61" s="8" t="s">
        <v>134</v>
      </c>
      <c r="C61" s="11">
        <f>2*(SUM(C5:C7))+3*(C38+C39)+C4+C43+C44+C36+6*C46</f>
        <v>-55.18181818181818</v>
      </c>
      <c r="D61" s="6" t="s">
        <v>655</v>
      </c>
    </row>
    <row r="62" spans="1:4" x14ac:dyDescent="0.45">
      <c r="B62" s="9"/>
      <c r="C62" s="12">
        <f>3*C61</f>
        <v>-165.54545454545453</v>
      </c>
      <c r="D62" s="7" t="s">
        <v>658</v>
      </c>
    </row>
    <row r="64" spans="1:4" x14ac:dyDescent="0.45">
      <c r="B64" s="8" t="s">
        <v>134</v>
      </c>
      <c r="C64" s="11">
        <f>2*(C7+C9)+3*(C8+C38+C39)+C40+C4+C43+C44+C36+6*C46</f>
        <v>-49.18181818181818</v>
      </c>
      <c r="D64" s="6" t="s">
        <v>656</v>
      </c>
    </row>
    <row r="65" spans="1:4" x14ac:dyDescent="0.45">
      <c r="B65" s="9"/>
      <c r="C65" s="12">
        <f>3*C64</f>
        <v>-147.54545454545453</v>
      </c>
      <c r="D65" s="7" t="s">
        <v>657</v>
      </c>
    </row>
    <row r="66" spans="1:4" ht="18.600000000000001" thickBot="1" x14ac:dyDescent="0.5"/>
    <row r="67" spans="1:4" ht="18.600000000000001" thickBot="1" x14ac:dyDescent="0.5">
      <c r="A67" s="13" t="s">
        <v>50</v>
      </c>
      <c r="B67" s="14" t="s">
        <v>49</v>
      </c>
      <c r="C67" s="14" t="s">
        <v>48</v>
      </c>
      <c r="D67" s="15" t="s">
        <v>47</v>
      </c>
    </row>
    <row r="68" spans="1:4" ht="18.600000000000001" thickTop="1" x14ac:dyDescent="0.45">
      <c r="A68" s="26" t="s">
        <v>387</v>
      </c>
      <c r="B68" t="s">
        <v>386</v>
      </c>
      <c r="D68" t="s">
        <v>53</v>
      </c>
    </row>
    <row r="69" spans="1:4" x14ac:dyDescent="0.45">
      <c r="A69" s="27"/>
      <c r="D69" t="s">
        <v>127</v>
      </c>
    </row>
    <row r="70" spans="1:4" x14ac:dyDescent="0.45">
      <c r="A70" s="27" t="s">
        <v>131</v>
      </c>
      <c r="B70" t="s">
        <v>128</v>
      </c>
      <c r="D70" s="1"/>
    </row>
    <row r="71" spans="1:4" x14ac:dyDescent="0.45">
      <c r="A71" s="27" t="s">
        <v>361</v>
      </c>
      <c r="B71" t="s">
        <v>129</v>
      </c>
      <c r="C71">
        <f>7-14</f>
        <v>-7</v>
      </c>
      <c r="D71" t="s">
        <v>362</v>
      </c>
    </row>
    <row r="72" spans="1:4" x14ac:dyDescent="0.45">
      <c r="A72" s="1" t="s">
        <v>634</v>
      </c>
      <c r="B72" t="s">
        <v>615</v>
      </c>
      <c r="C72">
        <v>0</v>
      </c>
      <c r="D72" t="s">
        <v>642</v>
      </c>
    </row>
    <row r="73" spans="1:4" x14ac:dyDescent="0.45">
      <c r="A73" s="1" t="s">
        <v>632</v>
      </c>
      <c r="B73" t="s">
        <v>612</v>
      </c>
      <c r="C73" s="94"/>
    </row>
    <row r="74" spans="1:4" x14ac:dyDescent="0.45">
      <c r="A74" s="1" t="s">
        <v>635</v>
      </c>
      <c r="B74" t="s">
        <v>616</v>
      </c>
      <c r="C74" s="94"/>
      <c r="D74" t="s">
        <v>646</v>
      </c>
    </row>
    <row r="75" spans="1:4" x14ac:dyDescent="0.45">
      <c r="A75" s="2" t="s">
        <v>631</v>
      </c>
      <c r="B75" t="s">
        <v>617</v>
      </c>
    </row>
    <row r="76" spans="1:4" x14ac:dyDescent="0.45">
      <c r="A76" s="1" t="s">
        <v>632</v>
      </c>
      <c r="B76" t="s">
        <v>612</v>
      </c>
      <c r="C76" s="94"/>
    </row>
    <row r="77" spans="1:4" x14ac:dyDescent="0.45">
      <c r="A77" s="1" t="s">
        <v>637</v>
      </c>
      <c r="B77" t="s">
        <v>618</v>
      </c>
      <c r="C77" s="94"/>
      <c r="D77" t="s">
        <v>647</v>
      </c>
    </row>
    <row r="78" spans="1:4" x14ac:dyDescent="0.45">
      <c r="A78" s="1" t="s">
        <v>636</v>
      </c>
      <c r="B78" t="s">
        <v>614</v>
      </c>
      <c r="C78">
        <v>0</v>
      </c>
      <c r="D78" t="s">
        <v>648</v>
      </c>
    </row>
    <row r="79" spans="1:4" x14ac:dyDescent="0.45">
      <c r="A79" s="1" t="s">
        <v>632</v>
      </c>
      <c r="B79" t="s">
        <v>612</v>
      </c>
      <c r="C79" s="94"/>
    </row>
    <row r="80" spans="1:4" x14ac:dyDescent="0.45">
      <c r="A80" s="1" t="s">
        <v>633</v>
      </c>
      <c r="B80" t="s">
        <v>613</v>
      </c>
      <c r="C80" s="94"/>
      <c r="D80" t="s">
        <v>649</v>
      </c>
    </row>
    <row r="81" spans="1:4" x14ac:dyDescent="0.45">
      <c r="A81" s="2" t="s">
        <v>653</v>
      </c>
      <c r="B81" t="s">
        <v>622</v>
      </c>
    </row>
    <row r="82" spans="1:4" x14ac:dyDescent="0.45">
      <c r="A82" s="2" t="s">
        <v>638</v>
      </c>
      <c r="B82" t="s">
        <v>619</v>
      </c>
      <c r="C82" s="94"/>
    </row>
    <row r="83" spans="1:4" x14ac:dyDescent="0.45">
      <c r="A83" s="1" t="s">
        <v>640</v>
      </c>
      <c r="B83" t="s">
        <v>623</v>
      </c>
      <c r="C83" s="94"/>
      <c r="D83" t="s">
        <v>650</v>
      </c>
    </row>
    <row r="84" spans="1:4" x14ac:dyDescent="0.45">
      <c r="A84" s="2" t="s">
        <v>638</v>
      </c>
      <c r="B84" t="s">
        <v>619</v>
      </c>
      <c r="C84" s="94"/>
    </row>
    <row r="85" spans="1:4" x14ac:dyDescent="0.45">
      <c r="A85" s="1" t="s">
        <v>654</v>
      </c>
      <c r="B85" t="s">
        <v>620</v>
      </c>
      <c r="C85" s="94"/>
    </row>
    <row r="86" spans="1:4" x14ac:dyDescent="0.45">
      <c r="A86" s="2" t="s">
        <v>638</v>
      </c>
      <c r="B86" t="s">
        <v>619</v>
      </c>
      <c r="C86" s="94"/>
    </row>
    <row r="87" spans="1:4" x14ac:dyDescent="0.45">
      <c r="A87" s="1" t="s">
        <v>639</v>
      </c>
      <c r="B87" t="s">
        <v>624</v>
      </c>
      <c r="C87" s="94"/>
    </row>
    <row r="88" spans="1:4" x14ac:dyDescent="0.45">
      <c r="A88" s="2" t="s">
        <v>638</v>
      </c>
      <c r="B88" t="s">
        <v>619</v>
      </c>
      <c r="C88" s="94"/>
    </row>
    <row r="89" spans="1:4" x14ac:dyDescent="0.45">
      <c r="A89" s="1" t="s">
        <v>641</v>
      </c>
      <c r="B89" t="s">
        <v>621</v>
      </c>
      <c r="C89" s="94"/>
      <c r="D89" t="s">
        <v>651</v>
      </c>
    </row>
    <row r="91" spans="1:4" x14ac:dyDescent="0.45">
      <c r="A91" s="1" t="s">
        <v>628</v>
      </c>
      <c r="D91" t="s">
        <v>652</v>
      </c>
    </row>
    <row r="100" spans="1:4" x14ac:dyDescent="0.45">
      <c r="A100" s="1" t="s">
        <v>627</v>
      </c>
      <c r="B100" t="s">
        <v>611</v>
      </c>
      <c r="D100" t="s">
        <v>53</v>
      </c>
    </row>
    <row r="101" spans="1:4" x14ac:dyDescent="0.45">
      <c r="A101" s="1" t="s">
        <v>625</v>
      </c>
      <c r="B101" t="s">
        <v>607</v>
      </c>
    </row>
    <row r="102" spans="1:4" x14ac:dyDescent="0.45">
      <c r="A102" s="1" t="s">
        <v>630</v>
      </c>
      <c r="B102" t="s">
        <v>608</v>
      </c>
      <c r="D102" t="s">
        <v>644</v>
      </c>
    </row>
    <row r="103" spans="1:4" x14ac:dyDescent="0.45">
      <c r="A103" s="1" t="s">
        <v>625</v>
      </c>
      <c r="B103" t="s">
        <v>607</v>
      </c>
    </row>
    <row r="104" spans="1:4" x14ac:dyDescent="0.45">
      <c r="A104" s="1" t="s">
        <v>629</v>
      </c>
      <c r="B104" t="s">
        <v>609</v>
      </c>
      <c r="D104" t="s">
        <v>643</v>
      </c>
    </row>
    <row r="105" spans="1:4" x14ac:dyDescent="0.45">
      <c r="A105" s="1" t="s">
        <v>625</v>
      </c>
      <c r="B105" t="s">
        <v>607</v>
      </c>
    </row>
    <row r="106" spans="1:4" x14ac:dyDescent="0.45">
      <c r="A106" s="1" t="s">
        <v>626</v>
      </c>
      <c r="B106" t="s">
        <v>610</v>
      </c>
      <c r="D106" t="s">
        <v>645</v>
      </c>
    </row>
  </sheetData>
  <mergeCells count="10">
    <mergeCell ref="C82:C83"/>
    <mergeCell ref="C84:C85"/>
    <mergeCell ref="C86:C87"/>
    <mergeCell ref="C88:C89"/>
    <mergeCell ref="C40:C41"/>
    <mergeCell ref="C44:C45"/>
    <mergeCell ref="C46:C47"/>
    <mergeCell ref="C79:C80"/>
    <mergeCell ref="C76:C77"/>
    <mergeCell ref="C73:C74"/>
  </mergeCells>
  <phoneticPr fontId="1"/>
  <pageMargins left="0.7" right="0.7" top="0.75" bottom="0.75" header="0.3" footer="0.3"/>
  <pageSetup paperSize="9" orientation="portrait" r:id="rId1"/>
  <ignoredErrors>
    <ignoredError sqref="C2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F9E0-F2B5-48A9-839D-E301515EEF14}">
  <dimension ref="A1:E261"/>
  <sheetViews>
    <sheetView topLeftCell="A145" workbookViewId="0">
      <selection activeCell="D87" sqref="D87:D88"/>
    </sheetView>
  </sheetViews>
  <sheetFormatPr defaultRowHeight="18" x14ac:dyDescent="0.45"/>
  <cols>
    <col min="1" max="1" width="11.296875" bestFit="1" customWidth="1"/>
    <col min="2" max="2" width="27.3984375" bestFit="1" customWidth="1"/>
    <col min="3" max="3" width="30" bestFit="1" customWidth="1"/>
    <col min="5" max="5" width="20.59765625" bestFit="1" customWidth="1"/>
  </cols>
  <sheetData>
    <row r="1" spans="1:5" ht="18.600000000000001" thickBot="1" x14ac:dyDescent="0.5">
      <c r="A1" s="72"/>
      <c r="B1" s="73" t="s">
        <v>50</v>
      </c>
      <c r="C1" s="14" t="s">
        <v>49</v>
      </c>
      <c r="D1" s="14" t="s">
        <v>48</v>
      </c>
      <c r="E1" s="15" t="s">
        <v>47</v>
      </c>
    </row>
    <row r="2" spans="1:5" ht="18.600000000000001" thickTop="1" x14ac:dyDescent="0.45">
      <c r="A2" s="76" t="s">
        <v>62</v>
      </c>
      <c r="B2" s="28" t="s">
        <v>138</v>
      </c>
      <c r="C2" s="19" t="s">
        <v>410</v>
      </c>
      <c r="D2" s="100">
        <f>29-32</f>
        <v>-3</v>
      </c>
      <c r="E2" s="83" t="s">
        <v>284</v>
      </c>
    </row>
    <row r="3" spans="1:5" x14ac:dyDescent="0.45">
      <c r="A3" s="76"/>
      <c r="B3" s="29" t="s">
        <v>137</v>
      </c>
      <c r="C3" s="69" t="s">
        <v>411</v>
      </c>
      <c r="D3" s="99"/>
      <c r="E3" s="84"/>
    </row>
    <row r="4" spans="1:5" x14ac:dyDescent="0.45">
      <c r="A4" s="76"/>
      <c r="B4" s="30" t="s">
        <v>139</v>
      </c>
      <c r="C4" s="68" t="s">
        <v>412</v>
      </c>
      <c r="D4" s="98">
        <f>17-18</f>
        <v>-1</v>
      </c>
      <c r="E4" s="85"/>
    </row>
    <row r="5" spans="1:5" x14ac:dyDescent="0.45">
      <c r="A5" s="76"/>
      <c r="B5" s="29" t="s">
        <v>140</v>
      </c>
      <c r="C5" s="69" t="s">
        <v>435</v>
      </c>
      <c r="D5" s="99"/>
      <c r="E5" s="84"/>
    </row>
    <row r="6" spans="1:5" x14ac:dyDescent="0.45">
      <c r="A6" s="76"/>
      <c r="B6" s="30" t="s">
        <v>142</v>
      </c>
      <c r="C6" s="68" t="s">
        <v>414</v>
      </c>
      <c r="D6" s="98">
        <f>18-22</f>
        <v>-4</v>
      </c>
      <c r="E6" s="85"/>
    </row>
    <row r="7" spans="1:5" x14ac:dyDescent="0.45">
      <c r="A7" s="76"/>
      <c r="B7" s="29" t="s">
        <v>141</v>
      </c>
      <c r="C7" s="69" t="s">
        <v>415</v>
      </c>
      <c r="D7" s="99"/>
      <c r="E7" s="84"/>
    </row>
    <row r="8" spans="1:5" x14ac:dyDescent="0.45">
      <c r="A8" s="76"/>
      <c r="B8" s="30" t="s">
        <v>143</v>
      </c>
      <c r="C8" s="68" t="s">
        <v>416</v>
      </c>
      <c r="D8" s="98">
        <f>16-21</f>
        <v>-5</v>
      </c>
      <c r="E8" s="85" t="s">
        <v>283</v>
      </c>
    </row>
    <row r="9" spans="1:5" x14ac:dyDescent="0.45">
      <c r="A9" s="76"/>
      <c r="B9" s="29" t="s">
        <v>144</v>
      </c>
      <c r="C9" s="69" t="s">
        <v>548</v>
      </c>
      <c r="D9" s="99"/>
      <c r="E9" s="84"/>
    </row>
    <row r="10" spans="1:5" x14ac:dyDescent="0.45">
      <c r="A10" s="76"/>
      <c r="B10" s="30" t="s">
        <v>145</v>
      </c>
      <c r="C10" s="68" t="s">
        <v>417</v>
      </c>
      <c r="D10" s="98">
        <f>31-28</f>
        <v>3</v>
      </c>
      <c r="E10" s="86" t="s">
        <v>259</v>
      </c>
    </row>
    <row r="11" spans="1:5" x14ac:dyDescent="0.45">
      <c r="A11" s="78"/>
      <c r="B11" s="29" t="s">
        <v>146</v>
      </c>
      <c r="C11" s="69" t="s">
        <v>418</v>
      </c>
      <c r="D11" s="99"/>
      <c r="E11" s="87" t="s">
        <v>260</v>
      </c>
    </row>
    <row r="12" spans="1:5" x14ac:dyDescent="0.45">
      <c r="A12" s="79" t="s">
        <v>63</v>
      </c>
      <c r="B12" s="30" t="s">
        <v>147</v>
      </c>
      <c r="C12" s="68" t="s">
        <v>419</v>
      </c>
      <c r="D12" s="98">
        <f>24-27</f>
        <v>-3</v>
      </c>
      <c r="E12" s="85" t="s">
        <v>286</v>
      </c>
    </row>
    <row r="13" spans="1:5" x14ac:dyDescent="0.45">
      <c r="A13" s="76"/>
      <c r="B13" s="29" t="s">
        <v>148</v>
      </c>
      <c r="C13" s="69" t="s">
        <v>420</v>
      </c>
      <c r="D13" s="99"/>
      <c r="E13" s="84" t="s">
        <v>287</v>
      </c>
    </row>
    <row r="14" spans="1:5" x14ac:dyDescent="0.45">
      <c r="A14" s="76"/>
      <c r="B14" s="30" t="s">
        <v>149</v>
      </c>
      <c r="C14" s="68" t="s">
        <v>421</v>
      </c>
      <c r="D14" s="98">
        <f>22-21</f>
        <v>1</v>
      </c>
      <c r="E14" s="85"/>
    </row>
    <row r="15" spans="1:5" x14ac:dyDescent="0.45">
      <c r="A15" s="78"/>
      <c r="B15" s="29" t="s">
        <v>150</v>
      </c>
      <c r="C15" s="69" t="s">
        <v>422</v>
      </c>
      <c r="D15" s="99"/>
      <c r="E15" s="84" t="s">
        <v>288</v>
      </c>
    </row>
    <row r="16" spans="1:5" x14ac:dyDescent="0.45">
      <c r="A16" s="79" t="s">
        <v>64</v>
      </c>
      <c r="B16" s="30" t="s">
        <v>151</v>
      </c>
      <c r="C16" s="68" t="s">
        <v>423</v>
      </c>
      <c r="D16" s="98">
        <f>14-20</f>
        <v>-6</v>
      </c>
      <c r="E16" s="85"/>
    </row>
    <row r="17" spans="1:5" x14ac:dyDescent="0.45">
      <c r="A17" s="76"/>
      <c r="B17" s="29" t="s">
        <v>152</v>
      </c>
      <c r="C17" s="69" t="s">
        <v>424</v>
      </c>
      <c r="D17" s="99"/>
      <c r="E17" s="84" t="s">
        <v>285</v>
      </c>
    </row>
    <row r="18" spans="1:5" x14ac:dyDescent="0.45">
      <c r="A18" s="76"/>
      <c r="B18" s="30" t="s">
        <v>153</v>
      </c>
      <c r="C18" s="68" t="s">
        <v>425</v>
      </c>
      <c r="D18" s="98">
        <f>28-22</f>
        <v>6</v>
      </c>
      <c r="E18" s="85" t="s">
        <v>289</v>
      </c>
    </row>
    <row r="19" spans="1:5" x14ac:dyDescent="0.45">
      <c r="A19" s="76"/>
      <c r="B19" s="29" t="s">
        <v>154</v>
      </c>
      <c r="C19" s="69" t="s">
        <v>426</v>
      </c>
      <c r="D19" s="99"/>
      <c r="E19" s="84" t="s">
        <v>290</v>
      </c>
    </row>
    <row r="20" spans="1:5" x14ac:dyDescent="0.45">
      <c r="A20" s="76"/>
      <c r="B20" s="30" t="s">
        <v>155</v>
      </c>
      <c r="C20" s="68" t="s">
        <v>427</v>
      </c>
      <c r="D20" s="98">
        <f>23-21</f>
        <v>2</v>
      </c>
      <c r="E20" s="85"/>
    </row>
    <row r="21" spans="1:5" x14ac:dyDescent="0.45">
      <c r="A21" s="78"/>
      <c r="B21" s="29" t="s">
        <v>156</v>
      </c>
      <c r="C21" s="69" t="s">
        <v>428</v>
      </c>
      <c r="D21" s="99"/>
      <c r="E21" s="84"/>
    </row>
    <row r="22" spans="1:5" x14ac:dyDescent="0.45">
      <c r="A22" s="79" t="s">
        <v>65</v>
      </c>
      <c r="B22" s="30" t="s">
        <v>157</v>
      </c>
      <c r="C22" s="68" t="s">
        <v>429</v>
      </c>
      <c r="D22" s="98">
        <f>22-25</f>
        <v>-3</v>
      </c>
      <c r="E22" s="85"/>
    </row>
    <row r="23" spans="1:5" x14ac:dyDescent="0.45">
      <c r="A23" s="76"/>
      <c r="B23" s="29" t="s">
        <v>158</v>
      </c>
      <c r="C23" s="69" t="s">
        <v>430</v>
      </c>
      <c r="D23" s="99"/>
      <c r="E23" s="84" t="s">
        <v>291</v>
      </c>
    </row>
    <row r="24" spans="1:5" x14ac:dyDescent="0.45">
      <c r="A24" s="76"/>
      <c r="B24" s="30" t="s">
        <v>159</v>
      </c>
      <c r="C24" s="68" t="s">
        <v>431</v>
      </c>
      <c r="D24" s="98">
        <f>20-22</f>
        <v>-2</v>
      </c>
      <c r="E24" s="85" t="s">
        <v>292</v>
      </c>
    </row>
    <row r="25" spans="1:5" x14ac:dyDescent="0.45">
      <c r="A25" s="76"/>
      <c r="B25" s="29" t="s">
        <v>160</v>
      </c>
      <c r="C25" s="69" t="s">
        <v>432</v>
      </c>
      <c r="D25" s="99"/>
      <c r="E25" s="84"/>
    </row>
    <row r="26" spans="1:5" x14ac:dyDescent="0.45">
      <c r="A26" s="76"/>
      <c r="B26" s="30" t="s">
        <v>66</v>
      </c>
      <c r="C26" s="68" t="s">
        <v>433</v>
      </c>
      <c r="D26" s="98">
        <f>12-15</f>
        <v>-3</v>
      </c>
      <c r="E26" s="85"/>
    </row>
    <row r="27" spans="1:5" x14ac:dyDescent="0.45">
      <c r="A27" s="76"/>
      <c r="B27" s="29" t="s">
        <v>161</v>
      </c>
      <c r="C27" s="69" t="s">
        <v>434</v>
      </c>
      <c r="D27" s="99"/>
      <c r="E27" s="84" t="s">
        <v>294</v>
      </c>
    </row>
    <row r="28" spans="1:5" x14ac:dyDescent="0.45">
      <c r="A28" s="78"/>
      <c r="B28" s="32" t="s">
        <v>293</v>
      </c>
      <c r="C28" s="5" t="s">
        <v>549</v>
      </c>
      <c r="D28" s="5">
        <f>11-11</f>
        <v>0</v>
      </c>
      <c r="E28" s="88" t="s">
        <v>295</v>
      </c>
    </row>
    <row r="29" spans="1:5" x14ac:dyDescent="0.45">
      <c r="A29" s="89"/>
      <c r="B29" s="4"/>
      <c r="C29" s="4"/>
      <c r="D29" s="4">
        <f>SUM(D2:D28)</f>
        <v>-18</v>
      </c>
      <c r="E29" s="90"/>
    </row>
    <row r="30" spans="1:5" x14ac:dyDescent="0.45">
      <c r="A30" s="79" t="s">
        <v>68</v>
      </c>
      <c r="B30" s="30" t="s">
        <v>162</v>
      </c>
      <c r="C30" s="68" t="s">
        <v>436</v>
      </c>
      <c r="D30" s="98">
        <f>15-20</f>
        <v>-5</v>
      </c>
      <c r="E30" s="85"/>
    </row>
    <row r="31" spans="1:5" x14ac:dyDescent="0.45">
      <c r="A31" s="76"/>
      <c r="B31" s="29" t="s">
        <v>163</v>
      </c>
      <c r="C31" s="69" t="s">
        <v>437</v>
      </c>
      <c r="D31" s="99"/>
      <c r="E31" s="84"/>
    </row>
    <row r="32" spans="1:5" x14ac:dyDescent="0.45">
      <c r="A32" s="76"/>
      <c r="B32" s="31" t="s">
        <v>164</v>
      </c>
      <c r="C32" s="68" t="s">
        <v>438</v>
      </c>
      <c r="D32" s="98">
        <f>8-13</f>
        <v>-5</v>
      </c>
      <c r="E32" s="85"/>
    </row>
    <row r="33" spans="1:5" x14ac:dyDescent="0.45">
      <c r="A33" s="76"/>
      <c r="B33" s="29" t="s">
        <v>165</v>
      </c>
      <c r="C33" s="69" t="s">
        <v>439</v>
      </c>
      <c r="D33" s="99"/>
      <c r="E33" s="84" t="s">
        <v>296</v>
      </c>
    </row>
    <row r="34" spans="1:5" x14ac:dyDescent="0.45">
      <c r="A34" s="76"/>
      <c r="B34" s="30" t="s">
        <v>166</v>
      </c>
      <c r="C34" s="68" t="s">
        <v>440</v>
      </c>
      <c r="D34" s="98">
        <f>30-31</f>
        <v>-1</v>
      </c>
      <c r="E34" s="85" t="s">
        <v>297</v>
      </c>
    </row>
    <row r="35" spans="1:5" x14ac:dyDescent="0.45">
      <c r="A35" s="76"/>
      <c r="B35" s="29" t="s">
        <v>167</v>
      </c>
      <c r="C35" s="69" t="s">
        <v>67</v>
      </c>
      <c r="D35" s="99"/>
      <c r="E35" s="84" t="s">
        <v>298</v>
      </c>
    </row>
    <row r="36" spans="1:5" x14ac:dyDescent="0.45">
      <c r="A36" s="76"/>
      <c r="B36" s="30" t="s">
        <v>168</v>
      </c>
      <c r="C36" s="68" t="s">
        <v>441</v>
      </c>
      <c r="D36" s="98">
        <f>29-25</f>
        <v>4</v>
      </c>
      <c r="E36" s="85" t="s">
        <v>299</v>
      </c>
    </row>
    <row r="37" spans="1:5" x14ac:dyDescent="0.45">
      <c r="A37" s="78"/>
      <c r="B37" s="29" t="s">
        <v>169</v>
      </c>
      <c r="C37" s="69" t="s">
        <v>442</v>
      </c>
      <c r="D37" s="99"/>
      <c r="E37" s="84" t="s">
        <v>301</v>
      </c>
    </row>
    <row r="38" spans="1:5" x14ac:dyDescent="0.45">
      <c r="A38" s="89"/>
      <c r="B38" s="4"/>
      <c r="C38" s="4"/>
      <c r="D38" s="4">
        <f>SUM(D30:D37)</f>
        <v>-7</v>
      </c>
      <c r="E38" s="90"/>
    </row>
    <row r="39" spans="1:5" x14ac:dyDescent="0.45">
      <c r="A39" s="79" t="s">
        <v>69</v>
      </c>
      <c r="B39" s="30" t="s">
        <v>170</v>
      </c>
      <c r="C39" s="68" t="s">
        <v>443</v>
      </c>
      <c r="D39" s="98">
        <f>22-19</f>
        <v>3</v>
      </c>
      <c r="E39" s="85" t="s">
        <v>302</v>
      </c>
    </row>
    <row r="40" spans="1:5" x14ac:dyDescent="0.45">
      <c r="A40" s="76"/>
      <c r="B40" s="29" t="s">
        <v>171</v>
      </c>
      <c r="C40" s="69" t="s">
        <v>444</v>
      </c>
      <c r="D40" s="99"/>
      <c r="E40" s="84"/>
    </row>
    <row r="41" spans="1:5" x14ac:dyDescent="0.45">
      <c r="A41" s="76"/>
      <c r="B41" s="30" t="s">
        <v>172</v>
      </c>
      <c r="C41" s="68" t="s">
        <v>445</v>
      </c>
      <c r="D41" s="98">
        <f>22-18</f>
        <v>4</v>
      </c>
      <c r="E41" s="85"/>
    </row>
    <row r="42" spans="1:5" x14ac:dyDescent="0.45">
      <c r="A42" s="76"/>
      <c r="B42" s="29" t="s">
        <v>173</v>
      </c>
      <c r="C42" s="69" t="s">
        <v>446</v>
      </c>
      <c r="D42" s="99"/>
      <c r="E42" s="84" t="s">
        <v>303</v>
      </c>
    </row>
    <row r="43" spans="1:5" x14ac:dyDescent="0.45">
      <c r="A43" s="78"/>
      <c r="B43" s="32" t="s">
        <v>174</v>
      </c>
      <c r="C43" s="5" t="s">
        <v>550</v>
      </c>
      <c r="D43" s="5">
        <f>8-7</f>
        <v>1</v>
      </c>
      <c r="E43" s="88" t="s">
        <v>304</v>
      </c>
    </row>
    <row r="44" spans="1:5" x14ac:dyDescent="0.45">
      <c r="A44" s="89"/>
      <c r="B44" s="4"/>
      <c r="C44" s="4"/>
      <c r="D44" s="4">
        <f>SUM(D39:D43)</f>
        <v>8</v>
      </c>
      <c r="E44" s="90"/>
    </row>
    <row r="45" spans="1:5" x14ac:dyDescent="0.45">
      <c r="A45" s="79" t="s">
        <v>70</v>
      </c>
      <c r="B45" s="30" t="s">
        <v>175</v>
      </c>
      <c r="C45" s="68" t="s">
        <v>447</v>
      </c>
      <c r="D45" s="98">
        <f>17-17</f>
        <v>0</v>
      </c>
      <c r="E45" s="85" t="s">
        <v>305</v>
      </c>
    </row>
    <row r="46" spans="1:5" x14ac:dyDescent="0.45">
      <c r="A46" s="76"/>
      <c r="B46" s="29" t="s">
        <v>176</v>
      </c>
      <c r="C46" s="69" t="s">
        <v>448</v>
      </c>
      <c r="D46" s="99"/>
      <c r="E46" s="84"/>
    </row>
    <row r="47" spans="1:5" x14ac:dyDescent="0.45">
      <c r="A47" s="76"/>
      <c r="B47" s="30" t="s">
        <v>177</v>
      </c>
      <c r="C47" s="68" t="s">
        <v>449</v>
      </c>
      <c r="D47" s="98">
        <f>21-22</f>
        <v>-1</v>
      </c>
      <c r="E47" s="85"/>
    </row>
    <row r="48" spans="1:5" x14ac:dyDescent="0.45">
      <c r="A48" s="76"/>
      <c r="B48" s="29" t="s">
        <v>178</v>
      </c>
      <c r="C48" s="69" t="s">
        <v>450</v>
      </c>
      <c r="D48" s="99"/>
      <c r="E48" s="84" t="s">
        <v>306</v>
      </c>
    </row>
    <row r="49" spans="1:5" x14ac:dyDescent="0.45">
      <c r="A49" s="76"/>
      <c r="B49" s="30" t="s">
        <v>179</v>
      </c>
      <c r="C49" s="68" t="s">
        <v>451</v>
      </c>
      <c r="D49" s="98">
        <f>19-20</f>
        <v>-1</v>
      </c>
      <c r="E49" s="85"/>
    </row>
    <row r="50" spans="1:5" x14ac:dyDescent="0.45">
      <c r="A50" s="76"/>
      <c r="B50" s="29" t="s">
        <v>180</v>
      </c>
      <c r="C50" s="69" t="s">
        <v>452</v>
      </c>
      <c r="D50" s="99"/>
      <c r="E50" s="84" t="s">
        <v>263</v>
      </c>
    </row>
    <row r="51" spans="1:5" x14ac:dyDescent="0.45">
      <c r="A51" s="76"/>
      <c r="B51" s="30" t="s">
        <v>181</v>
      </c>
      <c r="C51" s="68" t="s">
        <v>453</v>
      </c>
      <c r="D51" s="98">
        <f>21-22</f>
        <v>-1</v>
      </c>
      <c r="E51" s="85"/>
    </row>
    <row r="52" spans="1:5" x14ac:dyDescent="0.45">
      <c r="A52" s="78"/>
      <c r="B52" s="29" t="s">
        <v>182</v>
      </c>
      <c r="C52" s="69" t="s">
        <v>454</v>
      </c>
      <c r="D52" s="99"/>
      <c r="E52" s="84"/>
    </row>
    <row r="53" spans="1:5" x14ac:dyDescent="0.45">
      <c r="A53" s="79" t="s">
        <v>71</v>
      </c>
      <c r="B53" s="30" t="s">
        <v>531</v>
      </c>
      <c r="C53" s="68" t="s">
        <v>455</v>
      </c>
      <c r="D53" s="68">
        <f>10-12</f>
        <v>-2</v>
      </c>
      <c r="E53" s="85" t="s">
        <v>307</v>
      </c>
    </row>
    <row r="54" spans="1:5" x14ac:dyDescent="0.45">
      <c r="A54" s="76"/>
      <c r="B54" s="30" t="s">
        <v>183</v>
      </c>
      <c r="C54" s="68" t="s">
        <v>456</v>
      </c>
      <c r="D54" s="98">
        <f>24-20</f>
        <v>4</v>
      </c>
      <c r="E54" s="85" t="s">
        <v>308</v>
      </c>
    </row>
    <row r="55" spans="1:5" x14ac:dyDescent="0.45">
      <c r="A55" s="76"/>
      <c r="B55" s="29" t="s">
        <v>117</v>
      </c>
      <c r="C55" s="69" t="s">
        <v>457</v>
      </c>
      <c r="D55" s="99"/>
      <c r="E55" s="84"/>
    </row>
    <row r="56" spans="1:5" x14ac:dyDescent="0.45">
      <c r="A56" s="78"/>
      <c r="B56" s="30" t="s">
        <v>106</v>
      </c>
      <c r="C56" s="68" t="s">
        <v>458</v>
      </c>
      <c r="D56" s="68">
        <f>4-7</f>
        <v>-3</v>
      </c>
      <c r="E56" s="85" t="s">
        <v>273</v>
      </c>
    </row>
    <row r="57" spans="1:5" x14ac:dyDescent="0.45">
      <c r="A57" s="79" t="s">
        <v>72</v>
      </c>
      <c r="B57" s="30" t="s">
        <v>184</v>
      </c>
      <c r="C57" s="68" t="s">
        <v>459</v>
      </c>
      <c r="D57" s="98">
        <f>21-21</f>
        <v>0</v>
      </c>
      <c r="E57" s="85" t="s">
        <v>306</v>
      </c>
    </row>
    <row r="58" spans="1:5" x14ac:dyDescent="0.45">
      <c r="A58" s="76"/>
      <c r="B58" s="29" t="s">
        <v>185</v>
      </c>
      <c r="C58" s="69" t="s">
        <v>460</v>
      </c>
      <c r="D58" s="99"/>
      <c r="E58" s="84"/>
    </row>
    <row r="59" spans="1:5" x14ac:dyDescent="0.45">
      <c r="A59" s="76"/>
      <c r="B59" s="30" t="s">
        <v>186</v>
      </c>
      <c r="C59" s="68" t="s">
        <v>461</v>
      </c>
      <c r="D59" s="98">
        <f>21-23</f>
        <v>-2</v>
      </c>
      <c r="E59" s="85" t="s">
        <v>309</v>
      </c>
    </row>
    <row r="60" spans="1:5" x14ac:dyDescent="0.45">
      <c r="A60" s="78"/>
      <c r="B60" s="33" t="s">
        <v>187</v>
      </c>
      <c r="C60" s="69" t="s">
        <v>462</v>
      </c>
      <c r="D60" s="99"/>
      <c r="E60" s="84" t="s">
        <v>310</v>
      </c>
    </row>
    <row r="61" spans="1:5" x14ac:dyDescent="0.45">
      <c r="A61" s="79" t="s">
        <v>73</v>
      </c>
      <c r="B61" s="31" t="s">
        <v>188</v>
      </c>
      <c r="C61" s="68" t="s">
        <v>463</v>
      </c>
      <c r="D61" s="98">
        <f>26-25</f>
        <v>1</v>
      </c>
      <c r="E61" s="85" t="s">
        <v>311</v>
      </c>
    </row>
    <row r="62" spans="1:5" x14ac:dyDescent="0.45">
      <c r="A62" s="76"/>
      <c r="B62" s="29" t="s">
        <v>189</v>
      </c>
      <c r="C62" s="69" t="s">
        <v>464</v>
      </c>
      <c r="D62" s="99"/>
      <c r="E62" s="84" t="s">
        <v>312</v>
      </c>
    </row>
    <row r="63" spans="1:5" x14ac:dyDescent="0.45">
      <c r="A63" s="76"/>
      <c r="B63" s="30" t="s">
        <v>191</v>
      </c>
      <c r="C63" s="68" t="s">
        <v>465</v>
      </c>
      <c r="D63" s="98">
        <f>30-24</f>
        <v>6</v>
      </c>
      <c r="E63" s="85"/>
    </row>
    <row r="64" spans="1:5" x14ac:dyDescent="0.45">
      <c r="A64" s="76"/>
      <c r="B64" s="29" t="s">
        <v>190</v>
      </c>
      <c r="C64" s="69" t="s">
        <v>466</v>
      </c>
      <c r="D64" s="99"/>
      <c r="E64" s="84"/>
    </row>
    <row r="65" spans="1:5" x14ac:dyDescent="0.45">
      <c r="A65" s="76"/>
      <c r="B65" s="30" t="s">
        <v>192</v>
      </c>
      <c r="C65" s="68" t="s">
        <v>467</v>
      </c>
      <c r="D65" s="68">
        <f>7-10</f>
        <v>-3</v>
      </c>
      <c r="E65" s="85"/>
    </row>
    <row r="66" spans="1:5" x14ac:dyDescent="0.45">
      <c r="A66" s="76"/>
      <c r="B66" s="30" t="s">
        <v>605</v>
      </c>
      <c r="C66" s="68" t="s">
        <v>468</v>
      </c>
      <c r="D66" s="98">
        <f>24-28</f>
        <v>-4</v>
      </c>
      <c r="E66" s="85"/>
    </row>
    <row r="67" spans="1:5" x14ac:dyDescent="0.45">
      <c r="A67" s="78"/>
      <c r="B67" s="29" t="s">
        <v>193</v>
      </c>
      <c r="C67" s="69" t="s">
        <v>469</v>
      </c>
      <c r="D67" s="99"/>
      <c r="E67" s="84"/>
    </row>
    <row r="68" spans="1:5" x14ac:dyDescent="0.45">
      <c r="A68" s="89"/>
      <c r="B68" s="4"/>
      <c r="C68" s="4"/>
      <c r="D68" s="4">
        <f>SUM(D45:D67)</f>
        <v>-6</v>
      </c>
      <c r="E68" s="90"/>
    </row>
    <row r="69" spans="1:5" x14ac:dyDescent="0.45">
      <c r="A69" s="79" t="s">
        <v>74</v>
      </c>
      <c r="B69" s="30" t="s">
        <v>194</v>
      </c>
      <c r="C69" s="68" t="s">
        <v>470</v>
      </c>
      <c r="D69" s="98">
        <f>17-18</f>
        <v>-1</v>
      </c>
      <c r="E69" s="85"/>
    </row>
    <row r="70" spans="1:5" x14ac:dyDescent="0.45">
      <c r="A70" s="76"/>
      <c r="B70" s="29" t="s">
        <v>195</v>
      </c>
      <c r="C70" s="69" t="s">
        <v>471</v>
      </c>
      <c r="D70" s="99"/>
      <c r="E70" s="84" t="s">
        <v>313</v>
      </c>
    </row>
    <row r="71" spans="1:5" x14ac:dyDescent="0.45">
      <c r="A71" s="76"/>
      <c r="B71" s="30" t="s">
        <v>196</v>
      </c>
      <c r="C71" s="68" t="s">
        <v>472</v>
      </c>
      <c r="D71" s="98">
        <f>27-25</f>
        <v>2</v>
      </c>
      <c r="E71" s="85" t="s">
        <v>314</v>
      </c>
    </row>
    <row r="72" spans="1:5" x14ac:dyDescent="0.45">
      <c r="A72" s="76"/>
      <c r="B72" s="29" t="s">
        <v>197</v>
      </c>
      <c r="C72" s="69" t="s">
        <v>473</v>
      </c>
      <c r="D72" s="99"/>
      <c r="E72" s="84" t="s">
        <v>315</v>
      </c>
    </row>
    <row r="73" spans="1:5" x14ac:dyDescent="0.45">
      <c r="A73" s="76"/>
      <c r="B73" s="30" t="s">
        <v>316</v>
      </c>
      <c r="C73" s="68" t="s">
        <v>545</v>
      </c>
      <c r="D73" s="98">
        <f>19-20</f>
        <v>-1</v>
      </c>
      <c r="E73" s="85"/>
    </row>
    <row r="74" spans="1:5" x14ac:dyDescent="0.45">
      <c r="A74" s="78"/>
      <c r="B74" s="29" t="s">
        <v>532</v>
      </c>
      <c r="C74" s="69" t="s">
        <v>546</v>
      </c>
      <c r="D74" s="99"/>
      <c r="E74" s="84"/>
    </row>
    <row r="75" spans="1:5" x14ac:dyDescent="0.45">
      <c r="A75" s="89"/>
      <c r="B75" s="4"/>
      <c r="C75" s="4"/>
      <c r="D75" s="4">
        <f>SUM(D69:D74)</f>
        <v>0</v>
      </c>
      <c r="E75" s="90"/>
    </row>
    <row r="76" spans="1:5" x14ac:dyDescent="0.45">
      <c r="A76" s="79" t="s">
        <v>75</v>
      </c>
      <c r="B76" s="30" t="s">
        <v>199</v>
      </c>
      <c r="C76" s="68" t="s">
        <v>474</v>
      </c>
      <c r="D76" s="98">
        <f>27-20</f>
        <v>7</v>
      </c>
      <c r="E76" s="85" t="s">
        <v>317</v>
      </c>
    </row>
    <row r="77" spans="1:5" x14ac:dyDescent="0.45">
      <c r="A77" s="76"/>
      <c r="B77" s="29" t="s">
        <v>198</v>
      </c>
      <c r="C77" s="69" t="s">
        <v>475</v>
      </c>
      <c r="D77" s="99"/>
      <c r="E77" s="84" t="s">
        <v>318</v>
      </c>
    </row>
    <row r="78" spans="1:5" x14ac:dyDescent="0.45">
      <c r="A78" s="76"/>
      <c r="B78" s="30" t="s">
        <v>533</v>
      </c>
      <c r="C78" s="68" t="s">
        <v>547</v>
      </c>
      <c r="D78" s="68">
        <f>4-6</f>
        <v>-2</v>
      </c>
      <c r="E78" s="85"/>
    </row>
    <row r="79" spans="1:5" x14ac:dyDescent="0.45">
      <c r="A79" s="76"/>
      <c r="B79" s="30" t="s">
        <v>200</v>
      </c>
      <c r="C79" s="68" t="s">
        <v>476</v>
      </c>
      <c r="D79" s="98">
        <f>25-21</f>
        <v>4</v>
      </c>
      <c r="E79" s="85" t="s">
        <v>319</v>
      </c>
    </row>
    <row r="80" spans="1:5" x14ac:dyDescent="0.45">
      <c r="A80" s="76"/>
      <c r="B80" s="29" t="s">
        <v>201</v>
      </c>
      <c r="C80" s="69" t="s">
        <v>477</v>
      </c>
      <c r="D80" s="99"/>
      <c r="E80" s="84"/>
    </row>
    <row r="81" spans="1:5" x14ac:dyDescent="0.45">
      <c r="A81" s="76"/>
      <c r="B81" s="30" t="s">
        <v>202</v>
      </c>
      <c r="C81" s="68" t="s">
        <v>478</v>
      </c>
      <c r="D81" s="98">
        <f>23-22</f>
        <v>1</v>
      </c>
      <c r="E81" s="85"/>
    </row>
    <row r="82" spans="1:5" x14ac:dyDescent="0.45">
      <c r="A82" s="78"/>
      <c r="B82" s="29" t="s">
        <v>203</v>
      </c>
      <c r="C82" s="69" t="s">
        <v>543</v>
      </c>
      <c r="D82" s="99"/>
      <c r="E82" s="84" t="s">
        <v>320</v>
      </c>
    </row>
    <row r="83" spans="1:5" x14ac:dyDescent="0.45">
      <c r="A83" s="79" t="s">
        <v>76</v>
      </c>
      <c r="B83" s="30" t="s">
        <v>204</v>
      </c>
      <c r="C83" s="68" t="s">
        <v>479</v>
      </c>
      <c r="D83" s="98">
        <f>20-21</f>
        <v>-1</v>
      </c>
      <c r="E83" s="85"/>
    </row>
    <row r="84" spans="1:5" x14ac:dyDescent="0.45">
      <c r="A84" s="76"/>
      <c r="B84" s="29" t="s">
        <v>205</v>
      </c>
      <c r="C84" s="69" t="s">
        <v>544</v>
      </c>
      <c r="D84" s="99"/>
      <c r="E84" s="84" t="s">
        <v>321</v>
      </c>
    </row>
    <row r="85" spans="1:5" x14ac:dyDescent="0.45">
      <c r="A85" s="76"/>
      <c r="B85" s="30" t="s">
        <v>206</v>
      </c>
      <c r="C85" s="68" t="s">
        <v>480</v>
      </c>
      <c r="D85" s="98">
        <f>16-17</f>
        <v>-1</v>
      </c>
      <c r="E85" s="85" t="s">
        <v>322</v>
      </c>
    </row>
    <row r="86" spans="1:5" x14ac:dyDescent="0.45">
      <c r="A86" s="76"/>
      <c r="B86" s="29" t="s">
        <v>207</v>
      </c>
      <c r="C86" s="69" t="s">
        <v>481</v>
      </c>
      <c r="D86" s="99"/>
      <c r="E86" s="84"/>
    </row>
    <row r="87" spans="1:5" x14ac:dyDescent="0.45">
      <c r="A87" s="76"/>
      <c r="B87" s="30" t="s">
        <v>208</v>
      </c>
      <c r="C87" s="68" t="s">
        <v>482</v>
      </c>
      <c r="D87" s="98">
        <f>25-28</f>
        <v>-3</v>
      </c>
      <c r="E87" s="85" t="s">
        <v>323</v>
      </c>
    </row>
    <row r="88" spans="1:5" x14ac:dyDescent="0.45">
      <c r="A88" s="78"/>
      <c r="B88" s="29" t="s">
        <v>209</v>
      </c>
      <c r="C88" s="69" t="s">
        <v>483</v>
      </c>
      <c r="D88" s="99"/>
      <c r="E88" s="84" t="s">
        <v>324</v>
      </c>
    </row>
    <row r="89" spans="1:5" x14ac:dyDescent="0.45">
      <c r="A89" s="79" t="s">
        <v>77</v>
      </c>
      <c r="B89" s="30" t="s">
        <v>210</v>
      </c>
      <c r="C89" s="68" t="s">
        <v>551</v>
      </c>
      <c r="D89" s="68">
        <f>9-8</f>
        <v>1</v>
      </c>
      <c r="E89" s="85" t="s">
        <v>325</v>
      </c>
    </row>
    <row r="90" spans="1:5" x14ac:dyDescent="0.45">
      <c r="A90" s="76"/>
      <c r="B90" s="30" t="s">
        <v>211</v>
      </c>
      <c r="C90" s="68" t="s">
        <v>552</v>
      </c>
      <c r="D90" s="68">
        <f>13-11</f>
        <v>2</v>
      </c>
      <c r="E90" s="85"/>
    </row>
    <row r="91" spans="1:5" x14ac:dyDescent="0.45">
      <c r="A91" s="76"/>
      <c r="B91" s="30" t="s">
        <v>212</v>
      </c>
      <c r="C91" s="68" t="s">
        <v>484</v>
      </c>
      <c r="D91" s="98">
        <f>14-17</f>
        <v>-3</v>
      </c>
      <c r="E91" s="85"/>
    </row>
    <row r="92" spans="1:5" x14ac:dyDescent="0.45">
      <c r="A92" s="76"/>
      <c r="B92" s="29" t="s">
        <v>213</v>
      </c>
      <c r="C92" s="69" t="s">
        <v>485</v>
      </c>
      <c r="D92" s="99"/>
      <c r="E92" s="84" t="s">
        <v>606</v>
      </c>
    </row>
    <row r="93" spans="1:5" x14ac:dyDescent="0.45">
      <c r="A93" s="76"/>
      <c r="B93" s="30" t="s">
        <v>214</v>
      </c>
      <c r="C93" s="68" t="s">
        <v>553</v>
      </c>
      <c r="D93" s="98">
        <f>27-25</f>
        <v>2</v>
      </c>
      <c r="E93" s="85" t="s">
        <v>321</v>
      </c>
    </row>
    <row r="94" spans="1:5" x14ac:dyDescent="0.45">
      <c r="A94" s="76"/>
      <c r="B94" s="29" t="s">
        <v>215</v>
      </c>
      <c r="C94" s="69" t="s">
        <v>486</v>
      </c>
      <c r="D94" s="99"/>
      <c r="E94" s="84" t="s">
        <v>326</v>
      </c>
    </row>
    <row r="95" spans="1:5" x14ac:dyDescent="0.45">
      <c r="A95" s="76"/>
      <c r="B95" s="30" t="s">
        <v>216</v>
      </c>
      <c r="C95" s="68" t="s">
        <v>487</v>
      </c>
      <c r="D95" s="98">
        <f>25-24</f>
        <v>1</v>
      </c>
      <c r="E95" s="85" t="s">
        <v>272</v>
      </c>
    </row>
    <row r="96" spans="1:5" x14ac:dyDescent="0.45">
      <c r="A96" s="78"/>
      <c r="B96" s="29" t="s">
        <v>217</v>
      </c>
      <c r="C96" s="69" t="s">
        <v>488</v>
      </c>
      <c r="D96" s="99"/>
      <c r="E96" s="84" t="s">
        <v>327</v>
      </c>
    </row>
    <row r="97" spans="1:5" x14ac:dyDescent="0.45">
      <c r="A97" s="89"/>
      <c r="B97" s="4"/>
      <c r="C97" s="4"/>
      <c r="D97" s="4">
        <f>SUM(D76:D96)</f>
        <v>8</v>
      </c>
      <c r="E97" s="90"/>
    </row>
    <row r="98" spans="1:5" x14ac:dyDescent="0.45">
      <c r="A98" s="79" t="s">
        <v>78</v>
      </c>
      <c r="B98" s="30" t="s">
        <v>218</v>
      </c>
      <c r="C98" s="68" t="s">
        <v>489</v>
      </c>
      <c r="D98" s="98">
        <f>28-28</f>
        <v>0</v>
      </c>
      <c r="E98" s="85" t="s">
        <v>328</v>
      </c>
    </row>
    <row r="99" spans="1:5" x14ac:dyDescent="0.45">
      <c r="A99" s="76"/>
      <c r="B99" s="29" t="s">
        <v>219</v>
      </c>
      <c r="C99" s="69" t="s">
        <v>490</v>
      </c>
      <c r="D99" s="99"/>
      <c r="E99" s="84" t="s">
        <v>317</v>
      </c>
    </row>
    <row r="100" spans="1:5" x14ac:dyDescent="0.45">
      <c r="A100" s="76"/>
      <c r="B100" s="30" t="s">
        <v>221</v>
      </c>
      <c r="C100" s="68" t="s">
        <v>491</v>
      </c>
      <c r="D100" s="98">
        <f>19-26</f>
        <v>-7</v>
      </c>
      <c r="E100" s="85"/>
    </row>
    <row r="101" spans="1:5" x14ac:dyDescent="0.45">
      <c r="A101" s="76"/>
      <c r="B101" s="29" t="s">
        <v>220</v>
      </c>
      <c r="C101" s="69" t="s">
        <v>492</v>
      </c>
      <c r="D101" s="99"/>
      <c r="E101" s="84"/>
    </row>
    <row r="102" spans="1:5" x14ac:dyDescent="0.45">
      <c r="A102" s="76"/>
      <c r="B102" s="68" t="s">
        <v>222</v>
      </c>
      <c r="C102" s="68" t="s">
        <v>493</v>
      </c>
      <c r="D102" s="68">
        <f>5-7</f>
        <v>-2</v>
      </c>
      <c r="E102" s="85"/>
    </row>
    <row r="103" spans="1:5" x14ac:dyDescent="0.45">
      <c r="A103" s="76"/>
      <c r="B103" s="30" t="s">
        <v>223</v>
      </c>
      <c r="C103" s="68" t="s">
        <v>494</v>
      </c>
      <c r="D103" s="98">
        <f>29-28</f>
        <v>1</v>
      </c>
      <c r="E103" s="85" t="s">
        <v>329</v>
      </c>
    </row>
    <row r="104" spans="1:5" x14ac:dyDescent="0.45">
      <c r="A104" s="78"/>
      <c r="B104" s="29" t="s">
        <v>224</v>
      </c>
      <c r="C104" s="69" t="s">
        <v>495</v>
      </c>
      <c r="D104" s="99"/>
      <c r="E104" s="84" t="s">
        <v>330</v>
      </c>
    </row>
    <row r="105" spans="1:5" x14ac:dyDescent="0.45">
      <c r="A105" s="79" t="s">
        <v>79</v>
      </c>
      <c r="B105" s="31" t="s">
        <v>225</v>
      </c>
      <c r="C105" s="68" t="s">
        <v>496</v>
      </c>
      <c r="D105" s="68">
        <f>15-15</f>
        <v>0</v>
      </c>
      <c r="E105" s="85" t="s">
        <v>331</v>
      </c>
    </row>
    <row r="106" spans="1:5" x14ac:dyDescent="0.45">
      <c r="A106" s="76"/>
      <c r="B106" s="30" t="s">
        <v>226</v>
      </c>
      <c r="C106" s="68" t="s">
        <v>497</v>
      </c>
      <c r="D106" s="98">
        <f>27-20</f>
        <v>7</v>
      </c>
      <c r="E106" s="85" t="s">
        <v>332</v>
      </c>
    </row>
    <row r="107" spans="1:5" x14ac:dyDescent="0.45">
      <c r="A107" s="76"/>
      <c r="B107" s="29" t="s">
        <v>227</v>
      </c>
      <c r="C107" s="69" t="s">
        <v>498</v>
      </c>
      <c r="D107" s="99"/>
      <c r="E107" s="84" t="s">
        <v>333</v>
      </c>
    </row>
    <row r="108" spans="1:5" x14ac:dyDescent="0.45">
      <c r="A108" s="76"/>
      <c r="B108" s="30" t="s">
        <v>228</v>
      </c>
      <c r="C108" s="68" t="s">
        <v>499</v>
      </c>
      <c r="D108" s="68">
        <f>4-5</f>
        <v>-1</v>
      </c>
      <c r="E108" s="85"/>
    </row>
    <row r="109" spans="1:5" x14ac:dyDescent="0.45">
      <c r="A109" s="76"/>
      <c r="B109" s="30" t="s">
        <v>229</v>
      </c>
      <c r="C109" s="68" t="s">
        <v>500</v>
      </c>
      <c r="D109" s="68">
        <f>4-5</f>
        <v>-1</v>
      </c>
      <c r="E109" s="85"/>
    </row>
    <row r="110" spans="1:5" x14ac:dyDescent="0.45">
      <c r="A110" s="76"/>
      <c r="B110" s="30" t="s">
        <v>230</v>
      </c>
      <c r="C110" s="68" t="s">
        <v>501</v>
      </c>
      <c r="D110" s="68">
        <f>5-7</f>
        <v>-2</v>
      </c>
      <c r="E110" s="85"/>
    </row>
    <row r="111" spans="1:5" x14ac:dyDescent="0.45">
      <c r="A111" s="78"/>
      <c r="B111" s="68" t="s">
        <v>231</v>
      </c>
      <c r="C111" s="68" t="s">
        <v>502</v>
      </c>
      <c r="D111" s="68">
        <f>11-9</f>
        <v>2</v>
      </c>
      <c r="E111" s="85"/>
    </row>
    <row r="112" spans="1:5" x14ac:dyDescent="0.45">
      <c r="A112" s="79" t="s">
        <v>80</v>
      </c>
      <c r="B112" s="30" t="s">
        <v>232</v>
      </c>
      <c r="C112" s="68" t="s">
        <v>503</v>
      </c>
      <c r="D112" s="98">
        <f>19-21</f>
        <v>-2</v>
      </c>
      <c r="E112" s="85" t="s">
        <v>334</v>
      </c>
    </row>
    <row r="113" spans="1:5" x14ac:dyDescent="0.45">
      <c r="A113" s="76"/>
      <c r="B113" s="29" t="s">
        <v>233</v>
      </c>
      <c r="C113" s="69" t="s">
        <v>504</v>
      </c>
      <c r="D113" s="99"/>
      <c r="E113" s="84"/>
    </row>
    <row r="114" spans="1:5" x14ac:dyDescent="0.45">
      <c r="A114" s="76"/>
      <c r="B114" s="30" t="s">
        <v>234</v>
      </c>
      <c r="C114" s="68" t="s">
        <v>505</v>
      </c>
      <c r="D114" s="98">
        <f>21-25</f>
        <v>-4</v>
      </c>
      <c r="E114" s="85" t="s">
        <v>335</v>
      </c>
    </row>
    <row r="115" spans="1:5" x14ac:dyDescent="0.45">
      <c r="A115" s="76"/>
      <c r="B115" s="29" t="s">
        <v>534</v>
      </c>
      <c r="C115" s="69" t="s">
        <v>554</v>
      </c>
      <c r="D115" s="99"/>
      <c r="E115" s="84" t="s">
        <v>336</v>
      </c>
    </row>
    <row r="116" spans="1:5" x14ac:dyDescent="0.45">
      <c r="A116" s="76"/>
      <c r="B116" s="30" t="s">
        <v>235</v>
      </c>
      <c r="C116" s="68" t="s">
        <v>506</v>
      </c>
      <c r="D116" s="98">
        <f>28-31</f>
        <v>-3</v>
      </c>
      <c r="E116" s="85"/>
    </row>
    <row r="117" spans="1:5" x14ac:dyDescent="0.45">
      <c r="A117" s="76"/>
      <c r="B117" s="29" t="s">
        <v>236</v>
      </c>
      <c r="C117" s="69" t="s">
        <v>507</v>
      </c>
      <c r="D117" s="99"/>
      <c r="E117" s="84" t="s">
        <v>337</v>
      </c>
    </row>
    <row r="118" spans="1:5" x14ac:dyDescent="0.45">
      <c r="A118" s="76"/>
      <c r="B118" s="30" t="s">
        <v>237</v>
      </c>
      <c r="C118" s="68" t="s">
        <v>508</v>
      </c>
      <c r="D118" s="98">
        <f>30-28</f>
        <v>2</v>
      </c>
      <c r="E118" s="85" t="s">
        <v>338</v>
      </c>
    </row>
    <row r="119" spans="1:5" x14ac:dyDescent="0.45">
      <c r="A119" s="76"/>
      <c r="B119" s="29" t="s">
        <v>238</v>
      </c>
      <c r="C119" s="69" t="s">
        <v>509</v>
      </c>
      <c r="D119" s="99"/>
      <c r="E119" s="84"/>
    </row>
    <row r="120" spans="1:5" x14ac:dyDescent="0.45">
      <c r="A120" s="76"/>
      <c r="B120" s="30" t="s">
        <v>535</v>
      </c>
      <c r="C120" s="68" t="s">
        <v>510</v>
      </c>
      <c r="D120" s="98">
        <f>19-25</f>
        <v>-6</v>
      </c>
      <c r="E120" s="85"/>
    </row>
    <row r="121" spans="1:5" x14ac:dyDescent="0.45">
      <c r="A121" s="78"/>
      <c r="B121" s="29" t="s">
        <v>239</v>
      </c>
      <c r="C121" s="69" t="s">
        <v>511</v>
      </c>
      <c r="D121" s="99"/>
      <c r="E121" s="84"/>
    </row>
    <row r="122" spans="1:5" x14ac:dyDescent="0.45">
      <c r="A122" s="79" t="s">
        <v>81</v>
      </c>
      <c r="B122" s="30" t="s">
        <v>240</v>
      </c>
      <c r="C122" s="68" t="s">
        <v>512</v>
      </c>
      <c r="D122" s="68">
        <f>13-15</f>
        <v>-2</v>
      </c>
      <c r="E122" s="85" t="s">
        <v>317</v>
      </c>
    </row>
    <row r="123" spans="1:5" x14ac:dyDescent="0.45">
      <c r="A123" s="76"/>
      <c r="B123" s="30" t="s">
        <v>241</v>
      </c>
      <c r="C123" s="68" t="s">
        <v>513</v>
      </c>
      <c r="D123" s="98">
        <f>27-22</f>
        <v>5</v>
      </c>
      <c r="E123" s="85" t="s">
        <v>352</v>
      </c>
    </row>
    <row r="124" spans="1:5" x14ac:dyDescent="0.45">
      <c r="A124" s="76"/>
      <c r="B124" s="29" t="s">
        <v>242</v>
      </c>
      <c r="C124" s="69" t="s">
        <v>514</v>
      </c>
      <c r="D124" s="99"/>
      <c r="E124" s="84" t="s">
        <v>339</v>
      </c>
    </row>
    <row r="125" spans="1:5" x14ac:dyDescent="0.45">
      <c r="A125" s="76"/>
      <c r="B125" s="31" t="s">
        <v>243</v>
      </c>
      <c r="C125" s="68" t="s">
        <v>515</v>
      </c>
      <c r="D125" s="98">
        <f>17-19</f>
        <v>-2</v>
      </c>
      <c r="E125" s="85"/>
    </row>
    <row r="126" spans="1:5" x14ac:dyDescent="0.45">
      <c r="A126" s="78"/>
      <c r="B126" s="33" t="s">
        <v>536</v>
      </c>
      <c r="C126" s="69" t="s">
        <v>516</v>
      </c>
      <c r="D126" s="99"/>
      <c r="E126" s="84"/>
    </row>
    <row r="127" spans="1:5" x14ac:dyDescent="0.45">
      <c r="A127" s="89"/>
      <c r="B127" s="4"/>
      <c r="C127" s="4"/>
      <c r="D127" s="4">
        <f>SUM(D98:D126)</f>
        <v>-15</v>
      </c>
      <c r="E127" s="90"/>
    </row>
    <row r="128" spans="1:5" x14ac:dyDescent="0.45">
      <c r="A128" s="79" t="s">
        <v>82</v>
      </c>
      <c r="B128" s="30" t="s">
        <v>244</v>
      </c>
      <c r="C128" s="68" t="s">
        <v>517</v>
      </c>
      <c r="D128" s="98">
        <f>30-28</f>
        <v>2</v>
      </c>
      <c r="E128" s="85" t="s">
        <v>340</v>
      </c>
    </row>
    <row r="129" spans="1:5" x14ac:dyDescent="0.45">
      <c r="A129" s="76"/>
      <c r="B129" s="29" t="s">
        <v>245</v>
      </c>
      <c r="C129" s="69" t="s">
        <v>518</v>
      </c>
      <c r="D129" s="99"/>
      <c r="E129" s="84" t="s">
        <v>341</v>
      </c>
    </row>
    <row r="130" spans="1:5" x14ac:dyDescent="0.45">
      <c r="A130" s="76"/>
      <c r="B130" s="30" t="s">
        <v>246</v>
      </c>
      <c r="C130" s="68" t="s">
        <v>519</v>
      </c>
      <c r="D130" s="98">
        <f>24-21</f>
        <v>3</v>
      </c>
      <c r="E130" s="85" t="s">
        <v>342</v>
      </c>
    </row>
    <row r="131" spans="1:5" x14ac:dyDescent="0.45">
      <c r="A131" s="76"/>
      <c r="B131" s="29" t="s">
        <v>247</v>
      </c>
      <c r="C131" s="69" t="s">
        <v>520</v>
      </c>
      <c r="D131" s="99"/>
      <c r="E131" s="84" t="s">
        <v>343</v>
      </c>
    </row>
    <row r="132" spans="1:5" x14ac:dyDescent="0.45">
      <c r="A132" s="76"/>
      <c r="B132" s="71" t="s">
        <v>539</v>
      </c>
      <c r="C132" s="68" t="s">
        <v>529</v>
      </c>
      <c r="D132" s="68">
        <f>17-14</f>
        <v>3</v>
      </c>
      <c r="E132" s="85" t="s">
        <v>344</v>
      </c>
    </row>
    <row r="133" spans="1:5" x14ac:dyDescent="0.45">
      <c r="A133" s="76"/>
      <c r="B133" s="30" t="s">
        <v>248</v>
      </c>
      <c r="C133" s="68" t="s">
        <v>521</v>
      </c>
      <c r="D133" s="98">
        <f>27-23</f>
        <v>4</v>
      </c>
      <c r="E133" s="85" t="s">
        <v>345</v>
      </c>
    </row>
    <row r="134" spans="1:5" x14ac:dyDescent="0.45">
      <c r="A134" s="76"/>
      <c r="B134" s="29" t="s">
        <v>249</v>
      </c>
      <c r="C134" s="69" t="s">
        <v>542</v>
      </c>
      <c r="D134" s="99"/>
      <c r="E134" s="84" t="s">
        <v>346</v>
      </c>
    </row>
    <row r="135" spans="1:5" x14ac:dyDescent="0.45">
      <c r="A135" s="76"/>
      <c r="B135" s="30" t="s">
        <v>250</v>
      </c>
      <c r="C135" s="68" t="s">
        <v>522</v>
      </c>
      <c r="D135" s="98">
        <f>28-29</f>
        <v>-1</v>
      </c>
      <c r="E135" s="85" t="s">
        <v>342</v>
      </c>
    </row>
    <row r="136" spans="1:5" x14ac:dyDescent="0.45">
      <c r="A136" s="78"/>
      <c r="B136" s="29" t="s">
        <v>251</v>
      </c>
      <c r="C136" s="69" t="s">
        <v>540</v>
      </c>
      <c r="D136" s="99"/>
      <c r="E136" s="84" t="s">
        <v>339</v>
      </c>
    </row>
    <row r="137" spans="1:5" x14ac:dyDescent="0.45">
      <c r="A137" s="79" t="s">
        <v>83</v>
      </c>
      <c r="B137" s="30" t="s">
        <v>537</v>
      </c>
      <c r="C137" s="68" t="s">
        <v>541</v>
      </c>
      <c r="D137" s="68">
        <f>11-10</f>
        <v>1</v>
      </c>
      <c r="E137" s="85"/>
    </row>
    <row r="138" spans="1:5" x14ac:dyDescent="0.45">
      <c r="A138" s="76"/>
      <c r="B138" s="30" t="s">
        <v>252</v>
      </c>
      <c r="C138" s="68" t="s">
        <v>523</v>
      </c>
      <c r="D138" s="98">
        <f>17-19</f>
        <v>-2</v>
      </c>
      <c r="E138" s="85"/>
    </row>
    <row r="139" spans="1:5" x14ac:dyDescent="0.45">
      <c r="A139" s="78"/>
      <c r="B139" s="29" t="s">
        <v>253</v>
      </c>
      <c r="C139" s="69" t="s">
        <v>524</v>
      </c>
      <c r="D139" s="99"/>
      <c r="E139" s="84"/>
    </row>
    <row r="140" spans="1:5" x14ac:dyDescent="0.45">
      <c r="A140" s="79" t="s">
        <v>84</v>
      </c>
      <c r="B140" s="30" t="s">
        <v>143</v>
      </c>
      <c r="C140" s="68" t="s">
        <v>416</v>
      </c>
      <c r="D140" s="98">
        <f>18-22</f>
        <v>-4</v>
      </c>
      <c r="E140" s="85"/>
    </row>
    <row r="141" spans="1:5" x14ac:dyDescent="0.45">
      <c r="A141" s="76"/>
      <c r="B141" s="29" t="s">
        <v>254</v>
      </c>
      <c r="C141" s="69" t="s">
        <v>525</v>
      </c>
      <c r="D141" s="99"/>
      <c r="E141" s="84" t="s">
        <v>347</v>
      </c>
    </row>
    <row r="142" spans="1:5" x14ac:dyDescent="0.45">
      <c r="A142" s="76"/>
      <c r="B142" s="30" t="s">
        <v>256</v>
      </c>
      <c r="C142" s="68" t="s">
        <v>526</v>
      </c>
      <c r="D142" s="98">
        <f>25-21</f>
        <v>4</v>
      </c>
      <c r="E142" s="85" t="s">
        <v>348</v>
      </c>
    </row>
    <row r="143" spans="1:5" x14ac:dyDescent="0.45">
      <c r="A143" s="78"/>
      <c r="B143" s="29" t="s">
        <v>255</v>
      </c>
      <c r="C143" s="69" t="s">
        <v>527</v>
      </c>
      <c r="D143" s="99"/>
      <c r="E143" s="84" t="s">
        <v>349</v>
      </c>
    </row>
    <row r="144" spans="1:5" x14ac:dyDescent="0.45">
      <c r="A144" s="79" t="s">
        <v>85</v>
      </c>
      <c r="B144" s="30" t="s">
        <v>257</v>
      </c>
      <c r="C144" s="68" t="s">
        <v>528</v>
      </c>
      <c r="D144" s="98">
        <f>26-20</f>
        <v>6</v>
      </c>
      <c r="E144" s="85"/>
    </row>
    <row r="145" spans="1:5" x14ac:dyDescent="0.45">
      <c r="A145" s="76"/>
      <c r="B145" s="29" t="s">
        <v>538</v>
      </c>
      <c r="C145" s="69" t="s">
        <v>555</v>
      </c>
      <c r="D145" s="99"/>
      <c r="E145" s="84" t="s">
        <v>350</v>
      </c>
    </row>
    <row r="146" spans="1:5" x14ac:dyDescent="0.45">
      <c r="A146" s="78"/>
      <c r="B146" s="34" t="s">
        <v>258</v>
      </c>
      <c r="C146" s="5" t="s">
        <v>530</v>
      </c>
      <c r="D146" s="5">
        <f>11-12</f>
        <v>-1</v>
      </c>
      <c r="E146" s="88"/>
    </row>
    <row r="147" spans="1:5" ht="18.600000000000001" thickBot="1" x14ac:dyDescent="0.5">
      <c r="A147" s="91"/>
      <c r="B147" s="92"/>
      <c r="C147" s="92"/>
      <c r="D147" s="92">
        <f>SUM(D128:D146)</f>
        <v>15</v>
      </c>
      <c r="E147" s="93"/>
    </row>
    <row r="148" spans="1:5" x14ac:dyDescent="0.45">
      <c r="C148" s="4"/>
    </row>
    <row r="149" spans="1:5" x14ac:dyDescent="0.45">
      <c r="C149" s="4"/>
      <c r="D149">
        <f>D29+D38+D44+D68+D75+D97+D127+D147</f>
        <v>-15</v>
      </c>
    </row>
    <row r="150" spans="1:5" x14ac:dyDescent="0.45">
      <c r="C150" s="4"/>
      <c r="D150">
        <f>2*D149</f>
        <v>-30</v>
      </c>
    </row>
    <row r="151" spans="1:5" x14ac:dyDescent="0.45">
      <c r="A151" t="s">
        <v>261</v>
      </c>
      <c r="C151" s="4"/>
    </row>
    <row r="152" spans="1:5" x14ac:dyDescent="0.45">
      <c r="A152" t="s">
        <v>413</v>
      </c>
      <c r="C152" s="4"/>
    </row>
    <row r="153" spans="1:5" x14ac:dyDescent="0.45">
      <c r="C153" s="4"/>
    </row>
    <row r="154" spans="1:5" x14ac:dyDescent="0.45">
      <c r="C154" s="4"/>
    </row>
    <row r="155" spans="1:5" x14ac:dyDescent="0.45">
      <c r="C155" s="4"/>
    </row>
    <row r="156" spans="1:5" x14ac:dyDescent="0.45">
      <c r="C156" s="4"/>
    </row>
    <row r="157" spans="1:5" x14ac:dyDescent="0.45">
      <c r="C157" s="4"/>
    </row>
    <row r="158" spans="1:5" x14ac:dyDescent="0.45">
      <c r="C158" s="4"/>
    </row>
    <row r="159" spans="1:5" x14ac:dyDescent="0.45">
      <c r="C159" s="4"/>
    </row>
    <row r="160" spans="1:5" x14ac:dyDescent="0.45">
      <c r="C160" s="4"/>
    </row>
    <row r="161" spans="3:3" x14ac:dyDescent="0.45">
      <c r="C161" s="4"/>
    </row>
    <row r="162" spans="3:3" x14ac:dyDescent="0.45">
      <c r="C162" s="4"/>
    </row>
    <row r="163" spans="3:3" x14ac:dyDescent="0.45">
      <c r="C163" s="4"/>
    </row>
    <row r="164" spans="3:3" x14ac:dyDescent="0.45">
      <c r="C164" s="4"/>
    </row>
    <row r="165" spans="3:3" x14ac:dyDescent="0.45">
      <c r="C165" s="4"/>
    </row>
    <row r="166" spans="3:3" x14ac:dyDescent="0.45">
      <c r="C166" s="4"/>
    </row>
    <row r="167" spans="3:3" x14ac:dyDescent="0.45">
      <c r="C167" s="4"/>
    </row>
    <row r="168" spans="3:3" x14ac:dyDescent="0.45">
      <c r="C168" s="4"/>
    </row>
    <row r="169" spans="3:3" x14ac:dyDescent="0.45">
      <c r="C169" s="4"/>
    </row>
    <row r="170" spans="3:3" x14ac:dyDescent="0.45">
      <c r="C170" s="4"/>
    </row>
    <row r="171" spans="3:3" x14ac:dyDescent="0.45">
      <c r="C171" s="4"/>
    </row>
    <row r="172" spans="3:3" x14ac:dyDescent="0.45">
      <c r="C172" s="4"/>
    </row>
    <row r="173" spans="3:3" x14ac:dyDescent="0.45">
      <c r="C173" s="4"/>
    </row>
    <row r="174" spans="3:3" x14ac:dyDescent="0.45">
      <c r="C174" s="4"/>
    </row>
    <row r="175" spans="3:3" x14ac:dyDescent="0.45">
      <c r="C175" s="4"/>
    </row>
    <row r="176" spans="3:3" x14ac:dyDescent="0.45">
      <c r="C176" s="4"/>
    </row>
    <row r="177" spans="3:3" x14ac:dyDescent="0.45">
      <c r="C177" s="4"/>
    </row>
    <row r="178" spans="3:3" x14ac:dyDescent="0.45">
      <c r="C178" s="4"/>
    </row>
    <row r="179" spans="3:3" x14ac:dyDescent="0.45">
      <c r="C179" s="4"/>
    </row>
    <row r="180" spans="3:3" x14ac:dyDescent="0.45">
      <c r="C180" s="4"/>
    </row>
    <row r="181" spans="3:3" x14ac:dyDescent="0.45">
      <c r="C181" s="4"/>
    </row>
    <row r="182" spans="3:3" x14ac:dyDescent="0.45">
      <c r="C182" s="4"/>
    </row>
    <row r="183" spans="3:3" x14ac:dyDescent="0.45">
      <c r="C183" s="4"/>
    </row>
    <row r="184" spans="3:3" x14ac:dyDescent="0.45">
      <c r="C184" s="4"/>
    </row>
    <row r="185" spans="3:3" x14ac:dyDescent="0.45">
      <c r="C185" s="4"/>
    </row>
    <row r="186" spans="3:3" x14ac:dyDescent="0.45">
      <c r="C186" s="4"/>
    </row>
    <row r="187" spans="3:3" x14ac:dyDescent="0.45">
      <c r="C187" s="4"/>
    </row>
    <row r="188" spans="3:3" x14ac:dyDescent="0.45">
      <c r="C188" s="4"/>
    </row>
    <row r="189" spans="3:3" x14ac:dyDescent="0.45">
      <c r="C189" s="4"/>
    </row>
    <row r="190" spans="3:3" x14ac:dyDescent="0.45">
      <c r="C190" s="4"/>
    </row>
    <row r="191" spans="3:3" x14ac:dyDescent="0.45">
      <c r="C191" s="4"/>
    </row>
    <row r="192" spans="3:3" x14ac:dyDescent="0.45">
      <c r="C192" s="4"/>
    </row>
    <row r="193" spans="3:3" x14ac:dyDescent="0.45">
      <c r="C193" s="4"/>
    </row>
    <row r="194" spans="3:3" x14ac:dyDescent="0.45">
      <c r="C194" s="4"/>
    </row>
    <row r="195" spans="3:3" x14ac:dyDescent="0.45">
      <c r="C195" s="4"/>
    </row>
    <row r="196" spans="3:3" x14ac:dyDescent="0.45">
      <c r="C196" s="4"/>
    </row>
    <row r="197" spans="3:3" x14ac:dyDescent="0.45">
      <c r="C197" s="4"/>
    </row>
    <row r="198" spans="3:3" x14ac:dyDescent="0.45">
      <c r="C198" s="4"/>
    </row>
    <row r="199" spans="3:3" x14ac:dyDescent="0.45">
      <c r="C199" s="4"/>
    </row>
    <row r="200" spans="3:3" x14ac:dyDescent="0.45">
      <c r="C200" s="4"/>
    </row>
    <row r="201" spans="3:3" x14ac:dyDescent="0.45">
      <c r="C201" s="4"/>
    </row>
    <row r="202" spans="3:3" x14ac:dyDescent="0.45">
      <c r="C202" s="4"/>
    </row>
    <row r="203" spans="3:3" x14ac:dyDescent="0.45">
      <c r="C203" s="4"/>
    </row>
    <row r="204" spans="3:3" x14ac:dyDescent="0.45">
      <c r="C204" s="4"/>
    </row>
    <row r="205" spans="3:3" x14ac:dyDescent="0.45">
      <c r="C205" s="4"/>
    </row>
    <row r="206" spans="3:3" x14ac:dyDescent="0.45">
      <c r="C206" s="4"/>
    </row>
    <row r="207" spans="3:3" x14ac:dyDescent="0.45">
      <c r="C207" s="4"/>
    </row>
    <row r="208" spans="3:3" x14ac:dyDescent="0.45">
      <c r="C208" s="4"/>
    </row>
    <row r="209" spans="3:3" x14ac:dyDescent="0.45">
      <c r="C209" s="4"/>
    </row>
    <row r="210" spans="3:3" x14ac:dyDescent="0.45">
      <c r="C210" s="4"/>
    </row>
    <row r="211" spans="3:3" x14ac:dyDescent="0.45">
      <c r="C211" s="4"/>
    </row>
    <row r="212" spans="3:3" x14ac:dyDescent="0.45">
      <c r="C212" s="4"/>
    </row>
    <row r="213" spans="3:3" x14ac:dyDescent="0.45">
      <c r="C213" s="4"/>
    </row>
    <row r="214" spans="3:3" x14ac:dyDescent="0.45">
      <c r="C214" s="4"/>
    </row>
    <row r="215" spans="3:3" x14ac:dyDescent="0.45">
      <c r="C215" s="4"/>
    </row>
    <row r="216" spans="3:3" x14ac:dyDescent="0.45">
      <c r="C216" s="4"/>
    </row>
    <row r="217" spans="3:3" x14ac:dyDescent="0.45">
      <c r="C217" s="4"/>
    </row>
    <row r="218" spans="3:3" x14ac:dyDescent="0.45">
      <c r="C218" s="4"/>
    </row>
    <row r="219" spans="3:3" x14ac:dyDescent="0.45">
      <c r="C219" s="4"/>
    </row>
    <row r="220" spans="3:3" x14ac:dyDescent="0.45">
      <c r="C220" s="4"/>
    </row>
    <row r="221" spans="3:3" x14ac:dyDescent="0.45">
      <c r="C221" s="4"/>
    </row>
    <row r="222" spans="3:3" x14ac:dyDescent="0.45">
      <c r="C222" s="4"/>
    </row>
    <row r="223" spans="3:3" x14ac:dyDescent="0.45">
      <c r="C223" s="4"/>
    </row>
    <row r="224" spans="3:3" x14ac:dyDescent="0.45">
      <c r="C224" s="4"/>
    </row>
    <row r="225" spans="3:3" x14ac:dyDescent="0.45">
      <c r="C225" s="4"/>
    </row>
    <row r="226" spans="3:3" x14ac:dyDescent="0.45">
      <c r="C226" s="4"/>
    </row>
    <row r="227" spans="3:3" x14ac:dyDescent="0.45">
      <c r="C227" s="4"/>
    </row>
    <row r="228" spans="3:3" x14ac:dyDescent="0.45">
      <c r="C228" s="4"/>
    </row>
    <row r="229" spans="3:3" x14ac:dyDescent="0.45">
      <c r="C229" s="4"/>
    </row>
    <row r="230" spans="3:3" x14ac:dyDescent="0.45">
      <c r="C230" s="4"/>
    </row>
    <row r="231" spans="3:3" x14ac:dyDescent="0.45">
      <c r="C231" s="4"/>
    </row>
    <row r="232" spans="3:3" x14ac:dyDescent="0.45">
      <c r="C232" s="4"/>
    </row>
    <row r="233" spans="3:3" x14ac:dyDescent="0.45">
      <c r="C233" s="4"/>
    </row>
    <row r="234" spans="3:3" x14ac:dyDescent="0.45">
      <c r="C234" s="4"/>
    </row>
    <row r="235" spans="3:3" x14ac:dyDescent="0.45">
      <c r="C235" s="4"/>
    </row>
    <row r="236" spans="3:3" x14ac:dyDescent="0.45">
      <c r="C236" s="4"/>
    </row>
    <row r="237" spans="3:3" x14ac:dyDescent="0.45">
      <c r="C237" s="4"/>
    </row>
    <row r="238" spans="3:3" x14ac:dyDescent="0.45">
      <c r="C238" s="4"/>
    </row>
    <row r="239" spans="3:3" x14ac:dyDescent="0.45">
      <c r="C239" s="4"/>
    </row>
    <row r="240" spans="3:3" x14ac:dyDescent="0.45">
      <c r="C240" s="4"/>
    </row>
    <row r="241" spans="3:3" x14ac:dyDescent="0.45">
      <c r="C241" s="4"/>
    </row>
    <row r="242" spans="3:3" x14ac:dyDescent="0.45">
      <c r="C242" s="4"/>
    </row>
    <row r="243" spans="3:3" x14ac:dyDescent="0.45">
      <c r="C243" s="4"/>
    </row>
    <row r="244" spans="3:3" x14ac:dyDescent="0.45">
      <c r="C244" s="4"/>
    </row>
    <row r="245" spans="3:3" x14ac:dyDescent="0.45">
      <c r="C245" s="4"/>
    </row>
    <row r="246" spans="3:3" x14ac:dyDescent="0.45">
      <c r="C246" s="4"/>
    </row>
    <row r="247" spans="3:3" x14ac:dyDescent="0.45">
      <c r="C247" s="4"/>
    </row>
    <row r="248" spans="3:3" x14ac:dyDescent="0.45">
      <c r="C248" s="4"/>
    </row>
    <row r="249" spans="3:3" x14ac:dyDescent="0.45">
      <c r="C249" s="4"/>
    </row>
    <row r="250" spans="3:3" x14ac:dyDescent="0.45">
      <c r="C250" s="4"/>
    </row>
    <row r="251" spans="3:3" x14ac:dyDescent="0.45">
      <c r="C251" s="4"/>
    </row>
    <row r="252" spans="3:3" x14ac:dyDescent="0.45">
      <c r="C252" s="4"/>
    </row>
    <row r="253" spans="3:3" x14ac:dyDescent="0.45">
      <c r="C253" s="4"/>
    </row>
    <row r="254" spans="3:3" x14ac:dyDescent="0.45">
      <c r="C254" s="4"/>
    </row>
    <row r="255" spans="3:3" x14ac:dyDescent="0.45">
      <c r="C255" s="4"/>
    </row>
    <row r="256" spans="3:3" x14ac:dyDescent="0.45">
      <c r="C256" s="4"/>
    </row>
    <row r="257" spans="3:3" x14ac:dyDescent="0.45">
      <c r="C257" s="4"/>
    </row>
    <row r="258" spans="3:3" x14ac:dyDescent="0.45">
      <c r="C258" s="4"/>
    </row>
    <row r="259" spans="3:3" x14ac:dyDescent="0.45">
      <c r="C259" s="4"/>
    </row>
    <row r="260" spans="3:3" x14ac:dyDescent="0.45">
      <c r="C260" s="4"/>
    </row>
    <row r="261" spans="3:3" x14ac:dyDescent="0.45">
      <c r="C261" s="4"/>
    </row>
  </sheetData>
  <mergeCells count="60">
    <mergeCell ref="D138:D139"/>
    <mergeCell ref="D140:D141"/>
    <mergeCell ref="D142:D143"/>
    <mergeCell ref="D144:D145"/>
    <mergeCell ref="D123:D124"/>
    <mergeCell ref="D125:D126"/>
    <mergeCell ref="D128:D129"/>
    <mergeCell ref="D130:D131"/>
    <mergeCell ref="D133:D134"/>
    <mergeCell ref="D135:D136"/>
    <mergeCell ref="D120:D121"/>
    <mergeCell ref="D91:D92"/>
    <mergeCell ref="D93:D94"/>
    <mergeCell ref="D95:D96"/>
    <mergeCell ref="D98:D99"/>
    <mergeCell ref="D100:D101"/>
    <mergeCell ref="D103:D104"/>
    <mergeCell ref="D112:D113"/>
    <mergeCell ref="D106:D107"/>
    <mergeCell ref="D114:D115"/>
    <mergeCell ref="D116:D117"/>
    <mergeCell ref="D118:D119"/>
    <mergeCell ref="D87:D88"/>
    <mergeCell ref="D61:D62"/>
    <mergeCell ref="D63:D64"/>
    <mergeCell ref="D66:D67"/>
    <mergeCell ref="D69:D70"/>
    <mergeCell ref="D71:D72"/>
    <mergeCell ref="D73:D74"/>
    <mergeCell ref="D76:D77"/>
    <mergeCell ref="D79:D80"/>
    <mergeCell ref="D81:D82"/>
    <mergeCell ref="D83:D84"/>
    <mergeCell ref="D85:D86"/>
    <mergeCell ref="D59:D60"/>
    <mergeCell ref="D34:D35"/>
    <mergeCell ref="D36:D37"/>
    <mergeCell ref="D41:D42"/>
    <mergeCell ref="D45:D46"/>
    <mergeCell ref="D47:D48"/>
    <mergeCell ref="D49:D50"/>
    <mergeCell ref="D51:D52"/>
    <mergeCell ref="D54:D55"/>
    <mergeCell ref="D57:D58"/>
    <mergeCell ref="D32:D33"/>
    <mergeCell ref="D39:D40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30:D31"/>
  </mergeCells>
  <phoneticPr fontId="1"/>
  <pageMargins left="0.7" right="0.7" top="0.75" bottom="0.75" header="0.3" footer="0.3"/>
  <pageSetup paperSize="9" orientation="portrait" r:id="rId1"/>
  <ignoredErrors>
    <ignoredError sqref="D4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0FFF-17FA-4347-9BE8-B53A01939ADC}">
  <dimension ref="A1:E50"/>
  <sheetViews>
    <sheetView zoomScaleNormal="100" workbookViewId="0"/>
  </sheetViews>
  <sheetFormatPr defaultRowHeight="18" x14ac:dyDescent="0.45"/>
  <cols>
    <col min="1" max="1" width="3.3984375" bestFit="1" customWidth="1"/>
    <col min="2" max="2" width="28.69921875" bestFit="1" customWidth="1"/>
    <col min="3" max="3" width="29.296875" bestFit="1" customWidth="1"/>
    <col min="5" max="5" width="21.59765625" bestFit="1" customWidth="1"/>
  </cols>
  <sheetData>
    <row r="1" spans="1:5" ht="18.600000000000001" thickBot="1" x14ac:dyDescent="0.5">
      <c r="A1" s="72"/>
      <c r="B1" s="73" t="s">
        <v>50</v>
      </c>
      <c r="C1" s="74" t="s">
        <v>49</v>
      </c>
      <c r="D1" s="74" t="s">
        <v>48</v>
      </c>
      <c r="E1" s="75" t="s">
        <v>47</v>
      </c>
    </row>
    <row r="2" spans="1:5" ht="18.600000000000001" thickTop="1" x14ac:dyDescent="0.45">
      <c r="A2" s="76">
        <v>1</v>
      </c>
      <c r="B2" s="20" t="s">
        <v>87</v>
      </c>
      <c r="C2" s="70" t="s">
        <v>557</v>
      </c>
      <c r="D2" s="101">
        <f>30-34</f>
        <v>-4</v>
      </c>
      <c r="E2" s="77" t="s">
        <v>282</v>
      </c>
    </row>
    <row r="3" spans="1:5" x14ac:dyDescent="0.45">
      <c r="A3" s="76"/>
      <c r="B3" s="20" t="s">
        <v>88</v>
      </c>
      <c r="C3" s="70" t="s">
        <v>558</v>
      </c>
      <c r="D3" s="102"/>
      <c r="E3" s="77" t="s">
        <v>351</v>
      </c>
    </row>
    <row r="4" spans="1:5" x14ac:dyDescent="0.45">
      <c r="A4" s="76"/>
      <c r="B4" s="21" t="s">
        <v>89</v>
      </c>
      <c r="C4" s="67" t="s">
        <v>578</v>
      </c>
      <c r="D4" s="96"/>
      <c r="E4" s="18"/>
    </row>
    <row r="5" spans="1:5" x14ac:dyDescent="0.45">
      <c r="A5" s="76"/>
      <c r="B5" s="22" t="s">
        <v>90</v>
      </c>
      <c r="C5" s="66" t="s">
        <v>577</v>
      </c>
      <c r="D5" s="95">
        <f>23-26</f>
        <v>-3</v>
      </c>
      <c r="E5" s="17" t="s">
        <v>284</v>
      </c>
    </row>
    <row r="6" spans="1:5" x14ac:dyDescent="0.45">
      <c r="A6" s="76"/>
      <c r="B6" s="21" t="s">
        <v>580</v>
      </c>
      <c r="C6" s="67" t="s">
        <v>559</v>
      </c>
      <c r="D6" s="96"/>
      <c r="E6" s="18"/>
    </row>
    <row r="7" spans="1:5" x14ac:dyDescent="0.45">
      <c r="A7" s="76"/>
      <c r="B7" s="22" t="s">
        <v>91</v>
      </c>
      <c r="C7" s="66" t="s">
        <v>581</v>
      </c>
      <c r="D7" s="95">
        <f>26-26</f>
        <v>0</v>
      </c>
      <c r="E7" s="17" t="s">
        <v>262</v>
      </c>
    </row>
    <row r="8" spans="1:5" x14ac:dyDescent="0.45">
      <c r="A8" s="76"/>
      <c r="B8" s="21" t="s">
        <v>92</v>
      </c>
      <c r="C8" s="70" t="s">
        <v>560</v>
      </c>
      <c r="D8" s="96"/>
      <c r="E8" s="18" t="s">
        <v>263</v>
      </c>
    </row>
    <row r="9" spans="1:5" x14ac:dyDescent="0.45">
      <c r="A9" s="76"/>
      <c r="B9" s="22" t="s">
        <v>121</v>
      </c>
      <c r="C9" s="66" t="s">
        <v>582</v>
      </c>
      <c r="D9" s="95">
        <f>37-36</f>
        <v>1</v>
      </c>
      <c r="E9" s="17"/>
    </row>
    <row r="10" spans="1:5" x14ac:dyDescent="0.45">
      <c r="A10" s="76"/>
      <c r="B10" s="20" t="s">
        <v>93</v>
      </c>
      <c r="C10" s="70" t="s">
        <v>561</v>
      </c>
      <c r="D10" s="102"/>
      <c r="E10" s="77"/>
    </row>
    <row r="11" spans="1:5" x14ac:dyDescent="0.45">
      <c r="A11" s="78"/>
      <c r="B11" s="21" t="s">
        <v>94</v>
      </c>
      <c r="C11" s="67" t="s">
        <v>562</v>
      </c>
      <c r="D11" s="96"/>
      <c r="E11" s="18" t="s">
        <v>264</v>
      </c>
    </row>
    <row r="12" spans="1:5" x14ac:dyDescent="0.45">
      <c r="A12" s="79">
        <v>2</v>
      </c>
      <c r="B12" s="22" t="s">
        <v>95</v>
      </c>
      <c r="C12" s="66" t="s">
        <v>583</v>
      </c>
      <c r="D12" s="95">
        <f>35-24</f>
        <v>11</v>
      </c>
      <c r="E12" s="17" t="s">
        <v>300</v>
      </c>
    </row>
    <row r="13" spans="1:5" x14ac:dyDescent="0.45">
      <c r="A13" s="78"/>
      <c r="B13" s="21" t="s">
        <v>96</v>
      </c>
      <c r="C13" s="67" t="s">
        <v>563</v>
      </c>
      <c r="D13" s="96"/>
      <c r="E13" s="18" t="s">
        <v>265</v>
      </c>
    </row>
    <row r="14" spans="1:5" x14ac:dyDescent="0.45">
      <c r="A14" s="79">
        <v>3</v>
      </c>
      <c r="B14" s="22" t="s">
        <v>97</v>
      </c>
      <c r="C14" s="35" t="s">
        <v>598</v>
      </c>
      <c r="D14" s="95">
        <f>20-22</f>
        <v>-2</v>
      </c>
      <c r="E14" s="17"/>
    </row>
    <row r="15" spans="1:5" x14ac:dyDescent="0.45">
      <c r="A15" s="76"/>
      <c r="B15" s="21" t="s">
        <v>122</v>
      </c>
      <c r="C15" s="36" t="s">
        <v>564</v>
      </c>
      <c r="D15" s="96"/>
      <c r="E15" s="18" t="s">
        <v>269</v>
      </c>
    </row>
    <row r="16" spans="1:5" x14ac:dyDescent="0.45">
      <c r="A16" s="76"/>
      <c r="B16" s="22" t="s">
        <v>98</v>
      </c>
      <c r="C16" s="35" t="s">
        <v>597</v>
      </c>
      <c r="D16" s="95">
        <f>30-20</f>
        <v>10</v>
      </c>
      <c r="E16" s="17" t="s">
        <v>266</v>
      </c>
    </row>
    <row r="17" spans="1:5" x14ac:dyDescent="0.45">
      <c r="A17" s="78"/>
      <c r="B17" s="21" t="s">
        <v>99</v>
      </c>
      <c r="C17" s="36" t="s">
        <v>565</v>
      </c>
      <c r="D17" s="96"/>
      <c r="E17" s="18" t="s">
        <v>267</v>
      </c>
    </row>
    <row r="18" spans="1:5" x14ac:dyDescent="0.45">
      <c r="A18" s="79">
        <v>4</v>
      </c>
      <c r="B18" s="22" t="s">
        <v>100</v>
      </c>
      <c r="C18" s="35" t="s">
        <v>596</v>
      </c>
      <c r="D18" s="95">
        <f>18-17</f>
        <v>1</v>
      </c>
      <c r="E18" s="17"/>
    </row>
    <row r="19" spans="1:5" x14ac:dyDescent="0.45">
      <c r="A19" s="76"/>
      <c r="B19" s="21" t="s">
        <v>101</v>
      </c>
      <c r="C19" s="36" t="s">
        <v>579</v>
      </c>
      <c r="D19" s="96"/>
      <c r="E19" s="18" t="s">
        <v>269</v>
      </c>
    </row>
    <row r="20" spans="1:5" x14ac:dyDescent="0.45">
      <c r="A20" s="76"/>
      <c r="B20" s="22" t="s">
        <v>119</v>
      </c>
      <c r="C20" s="35" t="s">
        <v>595</v>
      </c>
      <c r="D20" s="95">
        <f>30-27</f>
        <v>3</v>
      </c>
      <c r="E20" s="17"/>
    </row>
    <row r="21" spans="1:5" x14ac:dyDescent="0.45">
      <c r="A21" s="76"/>
      <c r="B21" s="21" t="s">
        <v>102</v>
      </c>
      <c r="C21" s="36" t="s">
        <v>576</v>
      </c>
      <c r="D21" s="96"/>
      <c r="E21" s="18" t="s">
        <v>270</v>
      </c>
    </row>
    <row r="22" spans="1:5" x14ac:dyDescent="0.45">
      <c r="A22" s="76"/>
      <c r="B22" s="22" t="s">
        <v>103</v>
      </c>
      <c r="C22" s="35" t="s">
        <v>594</v>
      </c>
      <c r="D22" s="95">
        <f>34-30</f>
        <v>4</v>
      </c>
      <c r="E22" s="17" t="s">
        <v>277</v>
      </c>
    </row>
    <row r="23" spans="1:5" x14ac:dyDescent="0.45">
      <c r="A23" s="76"/>
      <c r="B23" s="21" t="s">
        <v>599</v>
      </c>
      <c r="C23" s="36" t="s">
        <v>575</v>
      </c>
      <c r="D23" s="96"/>
      <c r="E23" s="18"/>
    </row>
    <row r="24" spans="1:5" x14ac:dyDescent="0.45">
      <c r="A24" s="76"/>
      <c r="B24" s="22" t="s">
        <v>87</v>
      </c>
      <c r="C24" s="35" t="s">
        <v>593</v>
      </c>
      <c r="D24" s="95">
        <f>13-15</f>
        <v>-2</v>
      </c>
      <c r="E24" s="17"/>
    </row>
    <row r="25" spans="1:5" x14ac:dyDescent="0.45">
      <c r="A25" s="78"/>
      <c r="B25" s="21" t="s">
        <v>104</v>
      </c>
      <c r="C25" s="36" t="s">
        <v>574</v>
      </c>
      <c r="D25" s="96"/>
      <c r="E25" s="18" t="s">
        <v>271</v>
      </c>
    </row>
    <row r="26" spans="1:5" x14ac:dyDescent="0.45">
      <c r="A26" s="79">
        <v>5</v>
      </c>
      <c r="B26" s="22" t="s">
        <v>105</v>
      </c>
      <c r="C26" s="35" t="s">
        <v>603</v>
      </c>
      <c r="D26" s="95">
        <f>32-28</f>
        <v>4</v>
      </c>
      <c r="E26" s="17" t="s">
        <v>272</v>
      </c>
    </row>
    <row r="27" spans="1:5" x14ac:dyDescent="0.45">
      <c r="A27" s="76"/>
      <c r="B27" s="21" t="s">
        <v>120</v>
      </c>
      <c r="C27" s="36" t="s">
        <v>573</v>
      </c>
      <c r="D27" s="96"/>
      <c r="E27" s="18" t="s">
        <v>274</v>
      </c>
    </row>
    <row r="28" spans="1:5" x14ac:dyDescent="0.45">
      <c r="A28" s="78"/>
      <c r="B28" s="23" t="s">
        <v>106</v>
      </c>
      <c r="C28" s="37" t="s">
        <v>458</v>
      </c>
      <c r="D28" s="38">
        <f>4-7</f>
        <v>-3</v>
      </c>
      <c r="E28" s="16" t="s">
        <v>273</v>
      </c>
    </row>
    <row r="29" spans="1:5" x14ac:dyDescent="0.45">
      <c r="A29" s="79">
        <v>6</v>
      </c>
      <c r="B29" s="22" t="s">
        <v>87</v>
      </c>
      <c r="C29" s="35" t="s">
        <v>604</v>
      </c>
      <c r="D29" s="95">
        <f>17-25</f>
        <v>-8</v>
      </c>
      <c r="E29" s="17"/>
    </row>
    <row r="30" spans="1:5" x14ac:dyDescent="0.45">
      <c r="A30" s="76"/>
      <c r="B30" s="21" t="s">
        <v>118</v>
      </c>
      <c r="C30" s="36" t="s">
        <v>572</v>
      </c>
      <c r="D30" s="96"/>
      <c r="E30" s="18" t="s">
        <v>269</v>
      </c>
    </row>
    <row r="31" spans="1:5" x14ac:dyDescent="0.45">
      <c r="A31" s="76"/>
      <c r="B31" s="22" t="s">
        <v>107</v>
      </c>
      <c r="C31" s="35" t="s">
        <v>592</v>
      </c>
      <c r="D31" s="95">
        <f>29-26</f>
        <v>3</v>
      </c>
      <c r="E31" s="17"/>
    </row>
    <row r="32" spans="1:5" x14ac:dyDescent="0.45">
      <c r="A32" s="76"/>
      <c r="B32" s="21" t="s">
        <v>108</v>
      </c>
      <c r="C32" s="36" t="s">
        <v>571</v>
      </c>
      <c r="D32" s="96"/>
      <c r="E32" s="18"/>
    </row>
    <row r="33" spans="1:5" x14ac:dyDescent="0.45">
      <c r="A33" s="78"/>
      <c r="B33" s="23" t="s">
        <v>109</v>
      </c>
      <c r="C33" s="37" t="s">
        <v>591</v>
      </c>
      <c r="D33" s="38">
        <f>9-11</f>
        <v>-2</v>
      </c>
      <c r="E33" s="16"/>
    </row>
    <row r="34" spans="1:5" x14ac:dyDescent="0.45">
      <c r="A34" s="79">
        <v>7</v>
      </c>
      <c r="B34" s="22" t="s">
        <v>110</v>
      </c>
      <c r="C34" s="35" t="s">
        <v>590</v>
      </c>
      <c r="D34" s="95">
        <f>27-30</f>
        <v>-3</v>
      </c>
      <c r="E34" s="17"/>
    </row>
    <row r="35" spans="1:5" x14ac:dyDescent="0.45">
      <c r="A35" s="76"/>
      <c r="B35" s="21" t="s">
        <v>111</v>
      </c>
      <c r="C35" s="36" t="s">
        <v>570</v>
      </c>
      <c r="D35" s="96"/>
      <c r="E35" s="18" t="s">
        <v>275</v>
      </c>
    </row>
    <row r="36" spans="1:5" x14ac:dyDescent="0.45">
      <c r="A36" s="78"/>
      <c r="B36" s="23" t="s">
        <v>600</v>
      </c>
      <c r="C36" s="37" t="s">
        <v>589</v>
      </c>
      <c r="D36" s="38">
        <f>6-8</f>
        <v>-2</v>
      </c>
      <c r="E36" s="16"/>
    </row>
    <row r="37" spans="1:5" x14ac:dyDescent="0.45">
      <c r="A37" s="79">
        <v>8</v>
      </c>
      <c r="B37" s="22" t="s">
        <v>112</v>
      </c>
      <c r="C37" s="35" t="s">
        <v>412</v>
      </c>
      <c r="D37" s="95">
        <f>21-23</f>
        <v>-2</v>
      </c>
      <c r="E37" s="17"/>
    </row>
    <row r="38" spans="1:5" x14ac:dyDescent="0.45">
      <c r="A38" s="76"/>
      <c r="B38" s="21" t="s">
        <v>113</v>
      </c>
      <c r="C38" s="36" t="s">
        <v>569</v>
      </c>
      <c r="D38" s="96"/>
      <c r="E38" s="18" t="s">
        <v>268</v>
      </c>
    </row>
    <row r="39" spans="1:5" x14ac:dyDescent="0.45">
      <c r="A39" s="76"/>
      <c r="B39" s="22" t="s">
        <v>126</v>
      </c>
      <c r="C39" s="35" t="s">
        <v>588</v>
      </c>
      <c r="D39" s="95">
        <f>26-25</f>
        <v>1</v>
      </c>
      <c r="E39" s="17" t="s">
        <v>276</v>
      </c>
    </row>
    <row r="40" spans="1:5" x14ac:dyDescent="0.45">
      <c r="A40" s="78"/>
      <c r="B40" s="21" t="s">
        <v>601</v>
      </c>
      <c r="C40" s="36" t="s">
        <v>602</v>
      </c>
      <c r="D40" s="96"/>
      <c r="E40" s="18"/>
    </row>
    <row r="41" spans="1:5" x14ac:dyDescent="0.45">
      <c r="A41" s="79">
        <v>11</v>
      </c>
      <c r="B41" s="22" t="s">
        <v>123</v>
      </c>
      <c r="C41" s="35" t="s">
        <v>587</v>
      </c>
      <c r="D41" s="95">
        <f>29-24</f>
        <v>5</v>
      </c>
      <c r="E41" s="17"/>
    </row>
    <row r="42" spans="1:5" x14ac:dyDescent="0.45">
      <c r="A42" s="78"/>
      <c r="B42" s="21" t="s">
        <v>114</v>
      </c>
      <c r="C42" s="36" t="s">
        <v>568</v>
      </c>
      <c r="D42" s="96"/>
      <c r="E42" s="18" t="s">
        <v>279</v>
      </c>
    </row>
    <row r="43" spans="1:5" x14ac:dyDescent="0.45">
      <c r="A43" s="79">
        <v>12</v>
      </c>
      <c r="B43" s="22" t="s">
        <v>115</v>
      </c>
      <c r="C43" s="35" t="s">
        <v>586</v>
      </c>
      <c r="D43" s="95">
        <f>29-26</f>
        <v>3</v>
      </c>
      <c r="E43" s="17" t="s">
        <v>280</v>
      </c>
    </row>
    <row r="44" spans="1:5" x14ac:dyDescent="0.45">
      <c r="A44" s="78"/>
      <c r="B44" s="21" t="s">
        <v>124</v>
      </c>
      <c r="C44" s="36" t="s">
        <v>567</v>
      </c>
      <c r="D44" s="96"/>
      <c r="E44" s="18" t="s">
        <v>556</v>
      </c>
    </row>
    <row r="45" spans="1:5" x14ac:dyDescent="0.45">
      <c r="A45" s="79">
        <v>13</v>
      </c>
      <c r="B45" s="22" t="s">
        <v>116</v>
      </c>
      <c r="C45" s="35" t="s">
        <v>585</v>
      </c>
      <c r="D45" s="95">
        <f>23-21</f>
        <v>2</v>
      </c>
      <c r="E45" s="17" t="s">
        <v>278</v>
      </c>
    </row>
    <row r="46" spans="1:5" x14ac:dyDescent="0.45">
      <c r="A46" s="76"/>
      <c r="B46" s="21" t="s">
        <v>125</v>
      </c>
      <c r="C46" s="36" t="s">
        <v>566</v>
      </c>
      <c r="D46" s="96"/>
      <c r="E46" s="18" t="s">
        <v>281</v>
      </c>
    </row>
    <row r="47" spans="1:5" ht="18.600000000000001" thickBot="1" x14ac:dyDescent="0.5">
      <c r="A47" s="80"/>
      <c r="B47" s="81" t="s">
        <v>117</v>
      </c>
      <c r="C47" s="82" t="s">
        <v>584</v>
      </c>
      <c r="D47" s="43">
        <f>11-13</f>
        <v>-2</v>
      </c>
      <c r="E47" s="55"/>
    </row>
    <row r="49" spans="4:4" x14ac:dyDescent="0.45">
      <c r="D49">
        <f>SUM(D2:D47)</f>
        <v>15</v>
      </c>
    </row>
    <row r="50" spans="4:4" x14ac:dyDescent="0.45">
      <c r="D50">
        <f>2*D49</f>
        <v>30</v>
      </c>
    </row>
  </sheetData>
  <mergeCells count="20">
    <mergeCell ref="D43:D44"/>
    <mergeCell ref="D45:D46"/>
    <mergeCell ref="D29:D30"/>
    <mergeCell ref="D31:D32"/>
    <mergeCell ref="D34:D35"/>
    <mergeCell ref="D39:D40"/>
    <mergeCell ref="D37:D38"/>
    <mergeCell ref="D41:D42"/>
    <mergeCell ref="D26:D27"/>
    <mergeCell ref="D2:D4"/>
    <mergeCell ref="D5:D6"/>
    <mergeCell ref="D7:D8"/>
    <mergeCell ref="D9:D11"/>
    <mergeCell ref="D12:D13"/>
    <mergeCell ref="D14:D15"/>
    <mergeCell ref="D16:D17"/>
    <mergeCell ref="D18:D19"/>
    <mergeCell ref="D20:D21"/>
    <mergeCell ref="D22:D23"/>
    <mergeCell ref="D24:D25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バトルウィンドウズ</vt:lpstr>
      <vt:lpstr>メタナイトの逆襲</vt:lpstr>
      <vt:lpstr>大王の逆襲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奥山竜司</dc:creator>
  <cp:lastModifiedBy>Clomy 17</cp:lastModifiedBy>
  <dcterms:created xsi:type="dcterms:W3CDTF">2021-09-04T06:29:58Z</dcterms:created>
  <dcterms:modified xsi:type="dcterms:W3CDTF">2021-09-12T23:26:50Z</dcterms:modified>
</cp:coreProperties>
</file>